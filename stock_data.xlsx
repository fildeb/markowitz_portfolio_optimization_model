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\Desktop\projects\markowitz_portfolio_optimization_model\"/>
    </mc:Choice>
  </mc:AlternateContent>
  <xr:revisionPtr revIDLastSave="0" documentId="13_ncr:1_{21B0B9A9-25C1-4F6F-8F9B-213168F7A78E}" xr6:coauthVersionLast="47" xr6:coauthVersionMax="47" xr10:uidLastSave="{00000000-0000-0000-0000-000000000000}"/>
  <bookViews>
    <workbookView xWindow="-23148" yWindow="-108" windowWidth="23256" windowHeight="12456" firstSheet="2" activeTab="2" xr2:uid="{00000000-000D-0000-FFFF-FFFF00000000}"/>
  </bookViews>
  <sheets>
    <sheet name="Data" sheetId="2" r:id="rId1"/>
    <sheet name="inputs_new" sheetId="22" r:id="rId2"/>
    <sheet name="Inputs" sheetId="3" r:id="rId3"/>
    <sheet name="Plot Returns_Risk1" sheetId="12" r:id="rId4"/>
    <sheet name="EW Portfolio" sheetId="19" r:id="rId5"/>
    <sheet name="Min Variance Portfolio" sheetId="4" r:id="rId6"/>
    <sheet name="Best Portfolio No Short Selling" sheetId="5" r:id="rId7"/>
    <sheet name="Best Portfolio, weights&lt;20%" sheetId="11" r:id="rId8"/>
    <sheet name="Best Portfolio, sigma=market" sheetId="17" r:id="rId9"/>
    <sheet name="Best Portfolio" sheetId="6" r:id="rId10"/>
    <sheet name="Plot Returns_Risk2" sheetId="18" r:id="rId11"/>
    <sheet name="Sheet1" sheetId="21" r:id="rId12"/>
    <sheet name="SIM-Data" sheetId="7" r:id="rId13"/>
    <sheet name="Sim_Regressions" sheetId="20" r:id="rId14"/>
    <sheet name="SIM-Inputs" sheetId="8" r:id="rId15"/>
    <sheet name="SIM-Results" sheetId="9" r:id="rId16"/>
  </sheets>
  <definedNames>
    <definedName name="solver_adj" localSheetId="9" hidden="1">'Best Portfolio'!$B$5:$I$5</definedName>
    <definedName name="solver_adj" localSheetId="6" hidden="1">'Best Portfolio No Short Selling'!$B$5:$I$5</definedName>
    <definedName name="solver_adj" localSheetId="8" hidden="1">'Best Portfolio, sigma=market'!$B$5:$I$5</definedName>
    <definedName name="solver_adj" localSheetId="7" hidden="1">'Best Portfolio, weights&lt;20%'!$B$5:$I$5</definedName>
    <definedName name="solver_adj" localSheetId="5" hidden="1">'Min Variance Portfolio'!$B$6:$I$6</definedName>
    <definedName name="solver_adj" localSheetId="15" hidden="1">'SIM-Results'!$B$8:$J$8</definedName>
    <definedName name="solver_cvg" localSheetId="9" hidden="1">0.0001</definedName>
    <definedName name="solver_cvg" localSheetId="6" hidden="1">0.0001</definedName>
    <definedName name="solver_cvg" localSheetId="8" hidden="1">0.0001</definedName>
    <definedName name="solver_cvg" localSheetId="7" hidden="1">0.0001</definedName>
    <definedName name="solver_cvg" localSheetId="4" hidden="1">0.0001</definedName>
    <definedName name="solver_cvg" localSheetId="5" hidden="1">0.0001</definedName>
    <definedName name="solver_cvg" localSheetId="15" hidden="1">0.0001</definedName>
    <definedName name="solver_drv" localSheetId="9" hidden="1">1</definedName>
    <definedName name="solver_drv" localSheetId="6" hidden="1">1</definedName>
    <definedName name="solver_drv" localSheetId="8" hidden="1">1</definedName>
    <definedName name="solver_drv" localSheetId="7" hidden="1">1</definedName>
    <definedName name="solver_drv" localSheetId="4" hidden="1">1</definedName>
    <definedName name="solver_drv" localSheetId="5" hidden="1">1</definedName>
    <definedName name="solver_drv" localSheetId="15" hidden="1">1</definedName>
    <definedName name="solver_eng" localSheetId="9" hidden="1">1</definedName>
    <definedName name="solver_eng" localSheetId="6" hidden="1">1</definedName>
    <definedName name="solver_eng" localSheetId="8" hidden="1">1</definedName>
    <definedName name="solver_eng" localSheetId="7" hidden="1">1</definedName>
    <definedName name="solver_eng" localSheetId="4" hidden="1">1</definedName>
    <definedName name="solver_eng" localSheetId="5" hidden="1">1</definedName>
    <definedName name="solver_eng" localSheetId="12" hidden="1">1</definedName>
    <definedName name="solver_eng" localSheetId="15" hidden="1">1</definedName>
    <definedName name="solver_est" localSheetId="9" hidden="1">1</definedName>
    <definedName name="solver_est" localSheetId="6" hidden="1">1</definedName>
    <definedName name="solver_est" localSheetId="8" hidden="1">1</definedName>
    <definedName name="solver_est" localSheetId="7" hidden="1">1</definedName>
    <definedName name="solver_est" localSheetId="4" hidden="1">1</definedName>
    <definedName name="solver_est" localSheetId="5" hidden="1">1</definedName>
    <definedName name="solver_est" localSheetId="15" hidden="1">1</definedName>
    <definedName name="solver_itr" localSheetId="9" hidden="1">2147483647</definedName>
    <definedName name="solver_itr" localSheetId="6" hidden="1">2147483647</definedName>
    <definedName name="solver_itr" localSheetId="8" hidden="1">2147483647</definedName>
    <definedName name="solver_itr" localSheetId="7" hidden="1">2147483647</definedName>
    <definedName name="solver_itr" localSheetId="4" hidden="1">2147483647</definedName>
    <definedName name="solver_itr" localSheetId="5" hidden="1">2147483647</definedName>
    <definedName name="solver_itr" localSheetId="15" hidden="1">2147483647</definedName>
    <definedName name="solver_lhs1" localSheetId="9" hidden="1">'Best Portfolio'!$J$5</definedName>
    <definedName name="solver_lhs1" localSheetId="6" hidden="1">'Best Portfolio No Short Selling'!$J$5</definedName>
    <definedName name="solver_lhs1" localSheetId="8" hidden="1">'Best Portfolio, sigma=market'!$B$20</definedName>
    <definedName name="solver_lhs1" localSheetId="7" hidden="1">'Best Portfolio, weights&lt;20%'!$B$5:$I$5</definedName>
    <definedName name="solver_lhs1" localSheetId="4" hidden="1">'EW Portfolio'!#REF!</definedName>
    <definedName name="solver_lhs1" localSheetId="5" hidden="1">'Min Variance Portfolio'!$J$6</definedName>
    <definedName name="solver_lhs1" localSheetId="15" hidden="1">'SIM-Results'!$K$8</definedName>
    <definedName name="solver_lhs2" localSheetId="9" hidden="1">'Best Portfolio'!#REF!</definedName>
    <definedName name="solver_lhs2" localSheetId="6" hidden="1">'Best Portfolio No Short Selling'!$J$5</definedName>
    <definedName name="solver_lhs2" localSheetId="8" hidden="1">'Best Portfolio, sigma=market'!$K$5</definedName>
    <definedName name="solver_lhs2" localSheetId="7" hidden="1">'Best Portfolio, weights&lt;20%'!$B$5:$I$5</definedName>
    <definedName name="solver_lhs3" localSheetId="7" hidden="1">'Best Portfolio, weights&lt;20%'!$J$5</definedName>
    <definedName name="solver_mip" localSheetId="9" hidden="1">2147483647</definedName>
    <definedName name="solver_mip" localSheetId="6" hidden="1">2147483647</definedName>
    <definedName name="solver_mip" localSheetId="8" hidden="1">2147483647</definedName>
    <definedName name="solver_mip" localSheetId="7" hidden="1">2147483647</definedName>
    <definedName name="solver_mip" localSheetId="4" hidden="1">2147483647</definedName>
    <definedName name="solver_mip" localSheetId="5" hidden="1">2147483647</definedName>
    <definedName name="solver_mip" localSheetId="15" hidden="1">2147483647</definedName>
    <definedName name="solver_mni" localSheetId="9" hidden="1">30</definedName>
    <definedName name="solver_mni" localSheetId="6" hidden="1">30</definedName>
    <definedName name="solver_mni" localSheetId="8" hidden="1">30</definedName>
    <definedName name="solver_mni" localSheetId="7" hidden="1">30</definedName>
    <definedName name="solver_mni" localSheetId="4" hidden="1">30</definedName>
    <definedName name="solver_mni" localSheetId="5" hidden="1">30</definedName>
    <definedName name="solver_mni" localSheetId="15" hidden="1">30</definedName>
    <definedName name="solver_mrt" localSheetId="9" hidden="1">0.075</definedName>
    <definedName name="solver_mrt" localSheetId="6" hidden="1">0.075</definedName>
    <definedName name="solver_mrt" localSheetId="8" hidden="1">0.075</definedName>
    <definedName name="solver_mrt" localSheetId="7" hidden="1">0.075</definedName>
    <definedName name="solver_mrt" localSheetId="4" hidden="1">0.075</definedName>
    <definedName name="solver_mrt" localSheetId="5" hidden="1">0.075</definedName>
    <definedName name="solver_mrt" localSheetId="15" hidden="1">0.075</definedName>
    <definedName name="solver_msl" localSheetId="9" hidden="1">2</definedName>
    <definedName name="solver_msl" localSheetId="6" hidden="1">2</definedName>
    <definedName name="solver_msl" localSheetId="8" hidden="1">2</definedName>
    <definedName name="solver_msl" localSheetId="7" hidden="1">2</definedName>
    <definedName name="solver_msl" localSheetId="4" hidden="1">2</definedName>
    <definedName name="solver_msl" localSheetId="5" hidden="1">2</definedName>
    <definedName name="solver_msl" localSheetId="15" hidden="1">2</definedName>
    <definedName name="solver_neg" localSheetId="9" hidden="1">2</definedName>
    <definedName name="solver_neg" localSheetId="6" hidden="1">1</definedName>
    <definedName name="solver_neg" localSheetId="8" hidden="1">2</definedName>
    <definedName name="solver_neg" localSheetId="7" hidden="1">2</definedName>
    <definedName name="solver_neg" localSheetId="4" hidden="1">1</definedName>
    <definedName name="solver_neg" localSheetId="5" hidden="1">2</definedName>
    <definedName name="solver_neg" localSheetId="12" hidden="1">1</definedName>
    <definedName name="solver_neg" localSheetId="15" hidden="1">2</definedName>
    <definedName name="solver_nod" localSheetId="9" hidden="1">2147483647</definedName>
    <definedName name="solver_nod" localSheetId="6" hidden="1">2147483647</definedName>
    <definedName name="solver_nod" localSheetId="8" hidden="1">2147483647</definedName>
    <definedName name="solver_nod" localSheetId="7" hidden="1">2147483647</definedName>
    <definedName name="solver_nod" localSheetId="4" hidden="1">2147483647</definedName>
    <definedName name="solver_nod" localSheetId="5" hidden="1">2147483647</definedName>
    <definedName name="solver_nod" localSheetId="15" hidden="1">2147483647</definedName>
    <definedName name="solver_num" localSheetId="9" hidden="1">1</definedName>
    <definedName name="solver_num" localSheetId="6" hidden="1">1</definedName>
    <definedName name="solver_num" localSheetId="8" hidden="1">2</definedName>
    <definedName name="solver_num" localSheetId="7" hidden="1">3</definedName>
    <definedName name="solver_num" localSheetId="4" hidden="1">0</definedName>
    <definedName name="solver_num" localSheetId="5" hidden="1">1</definedName>
    <definedName name="solver_num" localSheetId="12" hidden="1">0</definedName>
    <definedName name="solver_num" localSheetId="15" hidden="1">1</definedName>
    <definedName name="solver_nwt" localSheetId="9" hidden="1">1</definedName>
    <definedName name="solver_nwt" localSheetId="6" hidden="1">1</definedName>
    <definedName name="solver_nwt" localSheetId="8" hidden="1">1</definedName>
    <definedName name="solver_nwt" localSheetId="7" hidden="1">1</definedName>
    <definedName name="solver_nwt" localSheetId="4" hidden="1">1</definedName>
    <definedName name="solver_nwt" localSheetId="5" hidden="1">1</definedName>
    <definedName name="solver_nwt" localSheetId="15" hidden="1">1</definedName>
    <definedName name="solver_opt" localSheetId="9" hidden="1">'Best Portfolio'!$B$23</definedName>
    <definedName name="solver_opt" localSheetId="6" hidden="1">'Best Portfolio No Short Selling'!$B$23</definedName>
    <definedName name="solver_opt" localSheetId="8" hidden="1">'Best Portfolio, sigma=market'!$B$23</definedName>
    <definedName name="solver_opt" localSheetId="7" hidden="1">'Best Portfolio, weights&lt;20%'!$B$23</definedName>
    <definedName name="solver_opt" localSheetId="5" hidden="1">'Min Variance Portfolio'!$B$22</definedName>
    <definedName name="solver_opt" localSheetId="12" hidden="1">'SIM-Data'!$C$3</definedName>
    <definedName name="solver_opt" localSheetId="15" hidden="1">'SIM-Results'!$B$17</definedName>
    <definedName name="solver_pre" localSheetId="9" hidden="1">0.000001</definedName>
    <definedName name="solver_pre" localSheetId="6" hidden="1">0.000001</definedName>
    <definedName name="solver_pre" localSheetId="8" hidden="1">0.000001</definedName>
    <definedName name="solver_pre" localSheetId="7" hidden="1">0.000001</definedName>
    <definedName name="solver_pre" localSheetId="4" hidden="1">0.00000001</definedName>
    <definedName name="solver_pre" localSheetId="5" hidden="1">0.00000001</definedName>
    <definedName name="solver_pre" localSheetId="15" hidden="1">0.000001</definedName>
    <definedName name="solver_rbv" localSheetId="9" hidden="1">1</definedName>
    <definedName name="solver_rbv" localSheetId="6" hidden="1">1</definedName>
    <definedName name="solver_rbv" localSheetId="8" hidden="1">1</definedName>
    <definedName name="solver_rbv" localSheetId="7" hidden="1">1</definedName>
    <definedName name="solver_rbv" localSheetId="4" hidden="1">1</definedName>
    <definedName name="solver_rbv" localSheetId="5" hidden="1">1</definedName>
    <definedName name="solver_rbv" localSheetId="15" hidden="1">1</definedName>
    <definedName name="solver_rel1" localSheetId="9" hidden="1">2</definedName>
    <definedName name="solver_rel1" localSheetId="6" hidden="1">2</definedName>
    <definedName name="solver_rel1" localSheetId="8" hidden="1">2</definedName>
    <definedName name="solver_rel1" localSheetId="7" hidden="1">1</definedName>
    <definedName name="solver_rel1" localSheetId="4" hidden="1">2</definedName>
    <definedName name="solver_rel1" localSheetId="5" hidden="1">2</definedName>
    <definedName name="solver_rel1" localSheetId="15" hidden="1">2</definedName>
    <definedName name="solver_rel2" localSheetId="9" hidden="1">2</definedName>
    <definedName name="solver_rel2" localSheetId="6" hidden="1">2</definedName>
    <definedName name="solver_rel2" localSheetId="8" hidden="1">2</definedName>
    <definedName name="solver_rel2" localSheetId="7" hidden="1">3</definedName>
    <definedName name="solver_rel3" localSheetId="7" hidden="1">2</definedName>
    <definedName name="solver_rhs1" localSheetId="9" hidden="1">1</definedName>
    <definedName name="solver_rhs1" localSheetId="6" hidden="1">1</definedName>
    <definedName name="solver_rhs1" localSheetId="8" hidden="1">'Best Portfolio, sigma=market'!$J$4</definedName>
    <definedName name="solver_rhs1" localSheetId="7" hidden="1">0.2</definedName>
    <definedName name="solver_rhs1" localSheetId="4" hidden="1">1</definedName>
    <definedName name="solver_rhs1" localSheetId="5" hidden="1">1</definedName>
    <definedName name="solver_rhs1" localSheetId="15" hidden="1">1</definedName>
    <definedName name="solver_rhs2" localSheetId="9" hidden="1">1</definedName>
    <definedName name="solver_rhs2" localSheetId="6" hidden="1">1</definedName>
    <definedName name="solver_rhs2" localSheetId="8" hidden="1">1</definedName>
    <definedName name="solver_rhs2" localSheetId="7" hidden="1">-0.2</definedName>
    <definedName name="solver_rhs3" localSheetId="7" hidden="1">1</definedName>
    <definedName name="solver_rlx" localSheetId="9" hidden="1">2</definedName>
    <definedName name="solver_rlx" localSheetId="6" hidden="1">2</definedName>
    <definedName name="solver_rlx" localSheetId="8" hidden="1">2</definedName>
    <definedName name="solver_rlx" localSheetId="7" hidden="1">2</definedName>
    <definedName name="solver_rlx" localSheetId="4" hidden="1">2</definedName>
    <definedName name="solver_rlx" localSheetId="5" hidden="1">2</definedName>
    <definedName name="solver_rlx" localSheetId="15" hidden="1">2</definedName>
    <definedName name="solver_rsd" localSheetId="9" hidden="1">0</definedName>
    <definedName name="solver_rsd" localSheetId="6" hidden="1">0</definedName>
    <definedName name="solver_rsd" localSheetId="8" hidden="1">0</definedName>
    <definedName name="solver_rsd" localSheetId="7" hidden="1">0</definedName>
    <definedName name="solver_rsd" localSheetId="4" hidden="1">0</definedName>
    <definedName name="solver_rsd" localSheetId="5" hidden="1">0</definedName>
    <definedName name="solver_rsd" localSheetId="15" hidden="1">0</definedName>
    <definedName name="solver_scl" localSheetId="9" hidden="1">1</definedName>
    <definedName name="solver_scl" localSheetId="6" hidden="1">1</definedName>
    <definedName name="solver_scl" localSheetId="8" hidden="1">1</definedName>
    <definedName name="solver_scl" localSheetId="7" hidden="1">1</definedName>
    <definedName name="solver_scl" localSheetId="4" hidden="1">1</definedName>
    <definedName name="solver_scl" localSheetId="5" hidden="1">1</definedName>
    <definedName name="solver_scl" localSheetId="15" hidden="1">1</definedName>
    <definedName name="solver_sho" localSheetId="9" hidden="1">2</definedName>
    <definedName name="solver_sho" localSheetId="6" hidden="1">2</definedName>
    <definedName name="solver_sho" localSheetId="8" hidden="1">2</definedName>
    <definedName name="solver_sho" localSheetId="7" hidden="1">2</definedName>
    <definedName name="solver_sho" localSheetId="4" hidden="1">2</definedName>
    <definedName name="solver_sho" localSheetId="5" hidden="1">2</definedName>
    <definedName name="solver_sho" localSheetId="15" hidden="1">2</definedName>
    <definedName name="solver_ssz" localSheetId="9" hidden="1">100</definedName>
    <definedName name="solver_ssz" localSheetId="6" hidden="1">100</definedName>
    <definedName name="solver_ssz" localSheetId="8" hidden="1">100</definedName>
    <definedName name="solver_ssz" localSheetId="7" hidden="1">100</definedName>
    <definedName name="solver_ssz" localSheetId="4" hidden="1">100</definedName>
    <definedName name="solver_ssz" localSheetId="5" hidden="1">100</definedName>
    <definedName name="solver_ssz" localSheetId="15" hidden="1">100</definedName>
    <definedName name="solver_tim" localSheetId="9" hidden="1">2147483647</definedName>
    <definedName name="solver_tim" localSheetId="6" hidden="1">2147483647</definedName>
    <definedName name="solver_tim" localSheetId="8" hidden="1">2147483647</definedName>
    <definedName name="solver_tim" localSheetId="7" hidden="1">2147483647</definedName>
    <definedName name="solver_tim" localSheetId="4" hidden="1">2147483647</definedName>
    <definedName name="solver_tim" localSheetId="5" hidden="1">2147483647</definedName>
    <definedName name="solver_tim" localSheetId="15" hidden="1">2147483647</definedName>
    <definedName name="solver_tol" localSheetId="9" hidden="1">0.01</definedName>
    <definedName name="solver_tol" localSheetId="6" hidden="1">0.01</definedName>
    <definedName name="solver_tol" localSheetId="8" hidden="1">0.01</definedName>
    <definedName name="solver_tol" localSheetId="7" hidden="1">0.01</definedName>
    <definedName name="solver_tol" localSheetId="4" hidden="1">0.01</definedName>
    <definedName name="solver_tol" localSheetId="5" hidden="1">0.01</definedName>
    <definedName name="solver_tol" localSheetId="15" hidden="1">0.01</definedName>
    <definedName name="solver_typ" localSheetId="9" hidden="1">1</definedName>
    <definedName name="solver_typ" localSheetId="6" hidden="1">1</definedName>
    <definedName name="solver_typ" localSheetId="8" hidden="1">1</definedName>
    <definedName name="solver_typ" localSheetId="7" hidden="1">1</definedName>
    <definedName name="solver_typ" localSheetId="4" hidden="1">2</definedName>
    <definedName name="solver_typ" localSheetId="5" hidden="1">2</definedName>
    <definedName name="solver_typ" localSheetId="12" hidden="1">1</definedName>
    <definedName name="solver_typ" localSheetId="15" hidden="1">1</definedName>
    <definedName name="solver_val" localSheetId="9" hidden="1">0</definedName>
    <definedName name="solver_val" localSheetId="6" hidden="1">0</definedName>
    <definedName name="solver_val" localSheetId="8" hidden="1">0.046344</definedName>
    <definedName name="solver_val" localSheetId="7" hidden="1">0</definedName>
    <definedName name="solver_val" localSheetId="4" hidden="1">0</definedName>
    <definedName name="solver_val" localSheetId="5" hidden="1">0</definedName>
    <definedName name="solver_val" localSheetId="12" hidden="1">0</definedName>
    <definedName name="solver_val" localSheetId="15" hidden="1">0</definedName>
    <definedName name="solver_ver" localSheetId="9" hidden="1">3</definedName>
    <definedName name="solver_ver" localSheetId="6" hidden="1">3</definedName>
    <definedName name="solver_ver" localSheetId="8" hidden="1">3</definedName>
    <definedName name="solver_ver" localSheetId="7" hidden="1">3</definedName>
    <definedName name="solver_ver" localSheetId="4" hidden="1">3</definedName>
    <definedName name="solver_ver" localSheetId="5" hidden="1">3</definedName>
    <definedName name="solver_ver" localSheetId="12" hidden="1">3</definedName>
    <definedName name="solver_ver" localSheetId="15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9" l="1"/>
  <c r="O22" i="19"/>
  <c r="B11" i="19" a="1"/>
  <c r="B11" i="19" s="1"/>
  <c r="L16" i="3"/>
  <c r="L14" i="3"/>
  <c r="N15" i="3"/>
  <c r="M9" i="19"/>
  <c r="N14" i="3"/>
  <c r="L15" i="3"/>
  <c r="G9" i="22"/>
  <c r="I27" i="22"/>
  <c r="H27" i="22"/>
  <c r="G27" i="22"/>
  <c r="F27" i="22"/>
  <c r="E27" i="22"/>
  <c r="D27" i="22"/>
  <c r="C27" i="22"/>
  <c r="B27" i="22"/>
  <c r="H26" i="22"/>
  <c r="G26" i="22"/>
  <c r="F26" i="22"/>
  <c r="E26" i="22"/>
  <c r="D26" i="22"/>
  <c r="C26" i="22"/>
  <c r="B26" i="22"/>
  <c r="G25" i="22"/>
  <c r="F25" i="22"/>
  <c r="E25" i="22"/>
  <c r="D25" i="22"/>
  <c r="C25" i="22"/>
  <c r="B25" i="22"/>
  <c r="F24" i="22"/>
  <c r="E24" i="22"/>
  <c r="D24" i="22"/>
  <c r="C24" i="22"/>
  <c r="B24" i="22"/>
  <c r="E23" i="22"/>
  <c r="D23" i="22"/>
  <c r="C23" i="22"/>
  <c r="B23" i="22"/>
  <c r="D22" i="22"/>
  <c r="C22" i="22"/>
  <c r="B22" i="22"/>
  <c r="C21" i="22"/>
  <c r="B21" i="22"/>
  <c r="B20" i="22"/>
  <c r="B17" i="22" l="1"/>
  <c r="I15" i="22"/>
  <c r="H14" i="22"/>
  <c r="G13" i="22"/>
  <c r="F12" i="22"/>
  <c r="E11" i="22"/>
  <c r="D10" i="22"/>
  <c r="C9" i="22"/>
  <c r="B8" i="22"/>
  <c r="I4" i="22" l="1"/>
  <c r="H4" i="22"/>
  <c r="G4" i="22"/>
  <c r="F4" i="22"/>
  <c r="E4" i="22"/>
  <c r="D4" i="22"/>
  <c r="C4" i="22"/>
  <c r="B4" i="22"/>
  <c r="I3" i="22"/>
  <c r="H3" i="22"/>
  <c r="G3" i="22"/>
  <c r="F3" i="22"/>
  <c r="E3" i="22"/>
  <c r="D3" i="22"/>
  <c r="C3" i="22"/>
  <c r="B3" i="22"/>
  <c r="I2" i="22"/>
  <c r="H2" i="22"/>
  <c r="G2" i="22"/>
  <c r="F2" i="22"/>
  <c r="E2" i="22"/>
  <c r="D2" i="22"/>
  <c r="C2" i="22"/>
  <c r="B2" i="22"/>
  <c r="B23" i="3"/>
  <c r="B4" i="3"/>
  <c r="B7" i="3"/>
  <c r="E25" i="3" a="1"/>
  <c r="E25" i="3"/>
  <c r="C25" i="3"/>
  <c r="B25" i="3"/>
  <c r="I16" i="8"/>
  <c r="I15" i="8"/>
  <c r="I14" i="8"/>
  <c r="H16" i="8"/>
  <c r="H15" i="8"/>
  <c r="H14" i="8"/>
  <c r="G16" i="8"/>
  <c r="G15" i="8"/>
  <c r="G14" i="8"/>
  <c r="F16" i="8"/>
  <c r="F15" i="8"/>
  <c r="F14" i="8"/>
  <c r="E16" i="8"/>
  <c r="E15" i="8"/>
  <c r="E14" i="8"/>
  <c r="D16" i="8"/>
  <c r="D15" i="8"/>
  <c r="D14" i="8"/>
  <c r="C16" i="8"/>
  <c r="C15" i="8"/>
  <c r="C14" i="8"/>
  <c r="B16" i="8"/>
  <c r="B15" i="8"/>
  <c r="B14" i="8"/>
  <c r="G20" i="5"/>
  <c r="M21" i="9"/>
  <c r="M23" i="9" s="1"/>
  <c r="J18" i="8"/>
  <c r="J17" i="8"/>
  <c r="B10" i="19"/>
  <c r="B24" i="3"/>
  <c r="K5" i="17"/>
  <c r="J7" i="9"/>
  <c r="J6" i="9"/>
  <c r="B4" i="19"/>
  <c r="B18" i="19" s="1"/>
  <c r="B20" i="4"/>
  <c r="B3" i="3"/>
  <c r="C30" i="3"/>
  <c r="C23" i="3" a="1"/>
  <c r="C23" i="3"/>
  <c r="B11" i="3"/>
  <c r="B12" i="19"/>
  <c r="J6" i="8"/>
  <c r="C3" i="18"/>
  <c r="D3" i="18"/>
  <c r="E3" i="18"/>
  <c r="F3" i="18"/>
  <c r="G3" i="18"/>
  <c r="H3" i="18"/>
  <c r="I3" i="18"/>
  <c r="J3" i="18"/>
  <c r="J2" i="18"/>
  <c r="C2" i="18"/>
  <c r="D2" i="18"/>
  <c r="E2" i="18"/>
  <c r="F2" i="18"/>
  <c r="G2" i="18"/>
  <c r="H2" i="18"/>
  <c r="I2" i="18"/>
  <c r="B22" i="6"/>
  <c r="C4" i="6"/>
  <c r="D4" i="6"/>
  <c r="E4" i="6"/>
  <c r="F4" i="6"/>
  <c r="G4" i="6"/>
  <c r="H4" i="6"/>
  <c r="I4" i="6"/>
  <c r="B4" i="6"/>
  <c r="C3" i="6"/>
  <c r="D3" i="6"/>
  <c r="E3" i="6"/>
  <c r="F3" i="6"/>
  <c r="G3" i="6"/>
  <c r="H3" i="6"/>
  <c r="I3" i="6"/>
  <c r="B3" i="6"/>
  <c r="C4" i="17"/>
  <c r="D4" i="17"/>
  <c r="E4" i="17"/>
  <c r="F4" i="17"/>
  <c r="G4" i="17"/>
  <c r="H4" i="17"/>
  <c r="I4" i="17"/>
  <c r="B4" i="17"/>
  <c r="C3" i="17"/>
  <c r="D3" i="17"/>
  <c r="E3" i="17"/>
  <c r="F3" i="17"/>
  <c r="G3" i="17"/>
  <c r="H3" i="17"/>
  <c r="I3" i="17"/>
  <c r="I6" i="17" s="1"/>
  <c r="B3" i="17"/>
  <c r="B6" i="17"/>
  <c r="C4" i="11"/>
  <c r="D4" i="11"/>
  <c r="E4" i="11"/>
  <c r="F4" i="11"/>
  <c r="G4" i="11"/>
  <c r="H4" i="11"/>
  <c r="I4" i="11"/>
  <c r="B4" i="11"/>
  <c r="C3" i="11"/>
  <c r="D3" i="11"/>
  <c r="E3" i="11"/>
  <c r="F3" i="11"/>
  <c r="G3" i="11"/>
  <c r="H3" i="11"/>
  <c r="I3" i="11"/>
  <c r="B3" i="11"/>
  <c r="B22" i="11"/>
  <c r="C4" i="5"/>
  <c r="D4" i="5"/>
  <c r="E4" i="5"/>
  <c r="F4" i="5"/>
  <c r="G4" i="5"/>
  <c r="H4" i="5"/>
  <c r="I4" i="5"/>
  <c r="B4" i="5"/>
  <c r="C3" i="5"/>
  <c r="D3" i="5"/>
  <c r="E3" i="5"/>
  <c r="F3" i="5"/>
  <c r="G3" i="5"/>
  <c r="H3" i="5"/>
  <c r="I3" i="5"/>
  <c r="B3" i="5"/>
  <c r="C5" i="4"/>
  <c r="D5" i="4"/>
  <c r="E5" i="4"/>
  <c r="F5" i="4"/>
  <c r="G5" i="4"/>
  <c r="H5" i="4"/>
  <c r="I5" i="4"/>
  <c r="B5" i="4"/>
  <c r="C4" i="4"/>
  <c r="D4" i="4"/>
  <c r="E4" i="4"/>
  <c r="F4" i="4"/>
  <c r="G4" i="4"/>
  <c r="H4" i="4"/>
  <c r="I4" i="4"/>
  <c r="B4" i="4"/>
  <c r="B7" i="4" s="1"/>
  <c r="C4" i="19"/>
  <c r="D4" i="19"/>
  <c r="E4" i="19"/>
  <c r="F4" i="19"/>
  <c r="G4" i="19"/>
  <c r="H4" i="19"/>
  <c r="I4" i="19"/>
  <c r="C3" i="19"/>
  <c r="D3" i="19"/>
  <c r="E3" i="19"/>
  <c r="F3" i="19"/>
  <c r="G3" i="19"/>
  <c r="H3" i="19"/>
  <c r="I3" i="19"/>
  <c r="B3" i="19"/>
  <c r="A23" i="3" a="1"/>
  <c r="A23" i="3" s="1"/>
  <c r="C22" i="3"/>
  <c r="D22" i="3"/>
  <c r="E22" i="3"/>
  <c r="F22" i="3"/>
  <c r="G22" i="3"/>
  <c r="H22" i="3"/>
  <c r="I22" i="3"/>
  <c r="B22" i="3"/>
  <c r="B17" i="19" l="1"/>
  <c r="B25" i="19" s="1"/>
  <c r="B22" i="5"/>
  <c r="B23" i="4"/>
  <c r="J4" i="17" l="1"/>
  <c r="B22" i="17"/>
  <c r="K4" i="19"/>
  <c r="K18" i="19" s="1"/>
  <c r="J11" i="9" l="1"/>
  <c r="J10" i="9"/>
  <c r="J9" i="9"/>
  <c r="K8" i="9"/>
  <c r="I5" i="9"/>
  <c r="I11" i="9" s="1"/>
  <c r="H5" i="9"/>
  <c r="H11" i="9" s="1"/>
  <c r="G5" i="9"/>
  <c r="G11" i="9" s="1"/>
  <c r="F5" i="9"/>
  <c r="F11" i="9" s="1"/>
  <c r="E5" i="9"/>
  <c r="E11" i="9" s="1"/>
  <c r="D5" i="9"/>
  <c r="D11" i="9" s="1"/>
  <c r="C5" i="9"/>
  <c r="C11" i="9" s="1"/>
  <c r="B5" i="9"/>
  <c r="B11" i="9" s="1"/>
  <c r="I4" i="9"/>
  <c r="I10" i="9" s="1"/>
  <c r="H4" i="9"/>
  <c r="H10" i="9" s="1"/>
  <c r="G4" i="9"/>
  <c r="G10" i="9" s="1"/>
  <c r="F4" i="9"/>
  <c r="F10" i="9" s="1"/>
  <c r="E4" i="9"/>
  <c r="E10" i="9" s="1"/>
  <c r="D4" i="9"/>
  <c r="D10" i="9" s="1"/>
  <c r="C4" i="9"/>
  <c r="C10" i="9" s="1"/>
  <c r="B4" i="9"/>
  <c r="B10" i="9" s="1"/>
  <c r="I3" i="9"/>
  <c r="I9" i="9" s="1"/>
  <c r="H3" i="9"/>
  <c r="H9" i="9" s="1"/>
  <c r="G3" i="9"/>
  <c r="G9" i="9" s="1"/>
  <c r="F3" i="9"/>
  <c r="F9" i="9" s="1"/>
  <c r="E3" i="9"/>
  <c r="E9" i="9" s="1"/>
  <c r="D3" i="9"/>
  <c r="D9" i="9" s="1"/>
  <c r="C3" i="9"/>
  <c r="C9" i="9" s="1"/>
  <c r="B3" i="9"/>
  <c r="B9" i="9" l="1"/>
  <c r="M1" i="9"/>
  <c r="M3" i="9" s="1"/>
  <c r="K10" i="9"/>
  <c r="B15" i="9" s="1"/>
  <c r="K9" i="9"/>
  <c r="B14" i="9" s="1"/>
  <c r="K11" i="9"/>
  <c r="C14" i="9" l="1"/>
  <c r="C15" i="9"/>
  <c r="I5" i="8"/>
  <c r="I4" i="8"/>
  <c r="I3" i="8"/>
  <c r="H5" i="8"/>
  <c r="H4" i="8"/>
  <c r="H3" i="8"/>
  <c r="G5" i="8"/>
  <c r="G4" i="8"/>
  <c r="G3" i="8"/>
  <c r="F5" i="8"/>
  <c r="F4" i="8"/>
  <c r="F3" i="8"/>
  <c r="E5" i="8"/>
  <c r="E4" i="8"/>
  <c r="E3" i="8"/>
  <c r="D5" i="8"/>
  <c r="D4" i="8"/>
  <c r="D3" i="8"/>
  <c r="C5" i="8"/>
  <c r="C4" i="8"/>
  <c r="C3" i="8"/>
  <c r="B5" i="8"/>
  <c r="B4" i="8"/>
  <c r="B3" i="8"/>
  <c r="B16" i="9" l="1"/>
  <c r="B17" i="9" s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5" i="7"/>
  <c r="B6" i="7"/>
  <c r="C6" i="7"/>
  <c r="D6" i="7"/>
  <c r="E6" i="7"/>
  <c r="F6" i="7"/>
  <c r="G6" i="7"/>
  <c r="H6" i="7"/>
  <c r="I6" i="7"/>
  <c r="B7" i="7"/>
  <c r="C7" i="7"/>
  <c r="D7" i="7"/>
  <c r="E7" i="7"/>
  <c r="F7" i="7"/>
  <c r="G7" i="7"/>
  <c r="H7" i="7"/>
  <c r="I7" i="7"/>
  <c r="B8" i="7"/>
  <c r="C8" i="7"/>
  <c r="D8" i="7"/>
  <c r="E8" i="7"/>
  <c r="F8" i="7"/>
  <c r="G8" i="7"/>
  <c r="H8" i="7"/>
  <c r="I8" i="7"/>
  <c r="B9" i="7"/>
  <c r="C9" i="7"/>
  <c r="D9" i="7"/>
  <c r="E9" i="7"/>
  <c r="F9" i="7"/>
  <c r="G9" i="7"/>
  <c r="H9" i="7"/>
  <c r="I9" i="7"/>
  <c r="B10" i="7"/>
  <c r="C10" i="7"/>
  <c r="D10" i="7"/>
  <c r="E10" i="7"/>
  <c r="F10" i="7"/>
  <c r="G10" i="7"/>
  <c r="H10" i="7"/>
  <c r="I10" i="7"/>
  <c r="B11" i="7"/>
  <c r="C11" i="7"/>
  <c r="D11" i="7"/>
  <c r="E11" i="7"/>
  <c r="F11" i="7"/>
  <c r="G11" i="7"/>
  <c r="H11" i="7"/>
  <c r="I11" i="7"/>
  <c r="B12" i="7"/>
  <c r="C12" i="7"/>
  <c r="D12" i="7"/>
  <c r="E12" i="7"/>
  <c r="F12" i="7"/>
  <c r="G12" i="7"/>
  <c r="H12" i="7"/>
  <c r="I12" i="7"/>
  <c r="B13" i="7"/>
  <c r="C13" i="7"/>
  <c r="D13" i="7"/>
  <c r="E13" i="7"/>
  <c r="F13" i="7"/>
  <c r="G13" i="7"/>
  <c r="H13" i="7"/>
  <c r="I13" i="7"/>
  <c r="B14" i="7"/>
  <c r="C14" i="7"/>
  <c r="D14" i="7"/>
  <c r="E14" i="7"/>
  <c r="F14" i="7"/>
  <c r="G14" i="7"/>
  <c r="H14" i="7"/>
  <c r="I14" i="7"/>
  <c r="B15" i="7"/>
  <c r="C15" i="7"/>
  <c r="D15" i="7"/>
  <c r="E15" i="7"/>
  <c r="F15" i="7"/>
  <c r="G15" i="7"/>
  <c r="H15" i="7"/>
  <c r="I15" i="7"/>
  <c r="B16" i="7"/>
  <c r="C16" i="7"/>
  <c r="D16" i="7"/>
  <c r="E16" i="7"/>
  <c r="F16" i="7"/>
  <c r="G16" i="7"/>
  <c r="H16" i="7"/>
  <c r="I16" i="7"/>
  <c r="B17" i="7"/>
  <c r="C17" i="7"/>
  <c r="D17" i="7"/>
  <c r="E17" i="7"/>
  <c r="F17" i="7"/>
  <c r="G17" i="7"/>
  <c r="H17" i="7"/>
  <c r="I17" i="7"/>
  <c r="B18" i="7"/>
  <c r="C18" i="7"/>
  <c r="D18" i="7"/>
  <c r="E18" i="7"/>
  <c r="F18" i="7"/>
  <c r="G18" i="7"/>
  <c r="H18" i="7"/>
  <c r="I18" i="7"/>
  <c r="B19" i="7"/>
  <c r="C19" i="7"/>
  <c r="D19" i="7"/>
  <c r="E19" i="7"/>
  <c r="F19" i="7"/>
  <c r="G19" i="7"/>
  <c r="H19" i="7"/>
  <c r="I19" i="7"/>
  <c r="B20" i="7"/>
  <c r="C20" i="7"/>
  <c r="D20" i="7"/>
  <c r="E20" i="7"/>
  <c r="F20" i="7"/>
  <c r="G20" i="7"/>
  <c r="H20" i="7"/>
  <c r="I20" i="7"/>
  <c r="B21" i="7"/>
  <c r="C21" i="7"/>
  <c r="D21" i="7"/>
  <c r="E21" i="7"/>
  <c r="F21" i="7"/>
  <c r="G21" i="7"/>
  <c r="H21" i="7"/>
  <c r="I21" i="7"/>
  <c r="B22" i="7"/>
  <c r="C22" i="7"/>
  <c r="D22" i="7"/>
  <c r="E22" i="7"/>
  <c r="F22" i="7"/>
  <c r="G22" i="7"/>
  <c r="H22" i="7"/>
  <c r="I22" i="7"/>
  <c r="B23" i="7"/>
  <c r="C23" i="7"/>
  <c r="D23" i="7"/>
  <c r="E23" i="7"/>
  <c r="F23" i="7"/>
  <c r="G23" i="7"/>
  <c r="H23" i="7"/>
  <c r="I23" i="7"/>
  <c r="B24" i="7"/>
  <c r="C24" i="7"/>
  <c r="D24" i="7"/>
  <c r="E24" i="7"/>
  <c r="F24" i="7"/>
  <c r="G24" i="7"/>
  <c r="H24" i="7"/>
  <c r="I24" i="7"/>
  <c r="B25" i="7"/>
  <c r="C25" i="7"/>
  <c r="D25" i="7"/>
  <c r="E25" i="7"/>
  <c r="F25" i="7"/>
  <c r="G25" i="7"/>
  <c r="H25" i="7"/>
  <c r="I25" i="7"/>
  <c r="B26" i="7"/>
  <c r="C26" i="7"/>
  <c r="D26" i="7"/>
  <c r="E26" i="7"/>
  <c r="F26" i="7"/>
  <c r="G26" i="7"/>
  <c r="H26" i="7"/>
  <c r="I26" i="7"/>
  <c r="B27" i="7"/>
  <c r="C27" i="7"/>
  <c r="D27" i="7"/>
  <c r="E27" i="7"/>
  <c r="F27" i="7"/>
  <c r="G27" i="7"/>
  <c r="H27" i="7"/>
  <c r="I27" i="7"/>
  <c r="B28" i="7"/>
  <c r="C28" i="7"/>
  <c r="D28" i="7"/>
  <c r="E28" i="7"/>
  <c r="F28" i="7"/>
  <c r="G28" i="7"/>
  <c r="H28" i="7"/>
  <c r="I28" i="7"/>
  <c r="B29" i="7"/>
  <c r="C29" i="7"/>
  <c r="D29" i="7"/>
  <c r="E29" i="7"/>
  <c r="F29" i="7"/>
  <c r="G29" i="7"/>
  <c r="H29" i="7"/>
  <c r="I29" i="7"/>
  <c r="B30" i="7"/>
  <c r="C30" i="7"/>
  <c r="D30" i="7"/>
  <c r="E30" i="7"/>
  <c r="F30" i="7"/>
  <c r="G30" i="7"/>
  <c r="H30" i="7"/>
  <c r="I30" i="7"/>
  <c r="B31" i="7"/>
  <c r="C31" i="7"/>
  <c r="D31" i="7"/>
  <c r="E31" i="7"/>
  <c r="F31" i="7"/>
  <c r="G31" i="7"/>
  <c r="H31" i="7"/>
  <c r="I31" i="7"/>
  <c r="B32" i="7"/>
  <c r="C32" i="7"/>
  <c r="D32" i="7"/>
  <c r="E32" i="7"/>
  <c r="F32" i="7"/>
  <c r="G32" i="7"/>
  <c r="H32" i="7"/>
  <c r="I32" i="7"/>
  <c r="B33" i="7"/>
  <c r="C33" i="7"/>
  <c r="D33" i="7"/>
  <c r="E33" i="7"/>
  <c r="F33" i="7"/>
  <c r="G33" i="7"/>
  <c r="H33" i="7"/>
  <c r="I33" i="7"/>
  <c r="B34" i="7"/>
  <c r="C34" i="7"/>
  <c r="D34" i="7"/>
  <c r="E34" i="7"/>
  <c r="F34" i="7"/>
  <c r="G34" i="7"/>
  <c r="H34" i="7"/>
  <c r="I34" i="7"/>
  <c r="B35" i="7"/>
  <c r="C35" i="7"/>
  <c r="D35" i="7"/>
  <c r="E35" i="7"/>
  <c r="F35" i="7"/>
  <c r="G35" i="7"/>
  <c r="H35" i="7"/>
  <c r="I35" i="7"/>
  <c r="B36" i="7"/>
  <c r="C36" i="7"/>
  <c r="D36" i="7"/>
  <c r="E36" i="7"/>
  <c r="F36" i="7"/>
  <c r="G36" i="7"/>
  <c r="H36" i="7"/>
  <c r="I36" i="7"/>
  <c r="B37" i="7"/>
  <c r="C37" i="7"/>
  <c r="D37" i="7"/>
  <c r="E37" i="7"/>
  <c r="F37" i="7"/>
  <c r="G37" i="7"/>
  <c r="H37" i="7"/>
  <c r="I37" i="7"/>
  <c r="B38" i="7"/>
  <c r="C38" i="7"/>
  <c r="D38" i="7"/>
  <c r="E38" i="7"/>
  <c r="F38" i="7"/>
  <c r="G38" i="7"/>
  <c r="H38" i="7"/>
  <c r="I38" i="7"/>
  <c r="B39" i="7"/>
  <c r="C39" i="7"/>
  <c r="D39" i="7"/>
  <c r="E39" i="7"/>
  <c r="F39" i="7"/>
  <c r="G39" i="7"/>
  <c r="H39" i="7"/>
  <c r="I39" i="7"/>
  <c r="B40" i="7"/>
  <c r="C40" i="7"/>
  <c r="D40" i="7"/>
  <c r="E40" i="7"/>
  <c r="F40" i="7"/>
  <c r="G40" i="7"/>
  <c r="H40" i="7"/>
  <c r="I40" i="7"/>
  <c r="B41" i="7"/>
  <c r="C41" i="7"/>
  <c r="D41" i="7"/>
  <c r="E41" i="7"/>
  <c r="F41" i="7"/>
  <c r="G41" i="7"/>
  <c r="H41" i="7"/>
  <c r="I41" i="7"/>
  <c r="B42" i="7"/>
  <c r="C42" i="7"/>
  <c r="D42" i="7"/>
  <c r="E42" i="7"/>
  <c r="F42" i="7"/>
  <c r="G42" i="7"/>
  <c r="H42" i="7"/>
  <c r="I42" i="7"/>
  <c r="B43" i="7"/>
  <c r="C43" i="7"/>
  <c r="D43" i="7"/>
  <c r="E43" i="7"/>
  <c r="F43" i="7"/>
  <c r="G43" i="7"/>
  <c r="H43" i="7"/>
  <c r="I43" i="7"/>
  <c r="B44" i="7"/>
  <c r="C44" i="7"/>
  <c r="D44" i="7"/>
  <c r="E44" i="7"/>
  <c r="F44" i="7"/>
  <c r="G44" i="7"/>
  <c r="H44" i="7"/>
  <c r="I44" i="7"/>
  <c r="B45" i="7"/>
  <c r="C45" i="7"/>
  <c r="D45" i="7"/>
  <c r="E45" i="7"/>
  <c r="F45" i="7"/>
  <c r="G45" i="7"/>
  <c r="H45" i="7"/>
  <c r="I45" i="7"/>
  <c r="B46" i="7"/>
  <c r="C46" i="7"/>
  <c r="D46" i="7"/>
  <c r="E46" i="7"/>
  <c r="F46" i="7"/>
  <c r="G46" i="7"/>
  <c r="H46" i="7"/>
  <c r="I46" i="7"/>
  <c r="B47" i="7"/>
  <c r="C47" i="7"/>
  <c r="D47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B49" i="7"/>
  <c r="C49" i="7"/>
  <c r="D49" i="7"/>
  <c r="E49" i="7"/>
  <c r="F49" i="7"/>
  <c r="G49" i="7"/>
  <c r="H49" i="7"/>
  <c r="I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I51" i="7"/>
  <c r="B52" i="7"/>
  <c r="C52" i="7"/>
  <c r="D52" i="7"/>
  <c r="E52" i="7"/>
  <c r="F52" i="7"/>
  <c r="G52" i="7"/>
  <c r="H52" i="7"/>
  <c r="I52" i="7"/>
  <c r="B53" i="7"/>
  <c r="C53" i="7"/>
  <c r="D53" i="7"/>
  <c r="E53" i="7"/>
  <c r="F53" i="7"/>
  <c r="G53" i="7"/>
  <c r="H53" i="7"/>
  <c r="I53" i="7"/>
  <c r="B54" i="7"/>
  <c r="C54" i="7"/>
  <c r="D54" i="7"/>
  <c r="E54" i="7"/>
  <c r="F54" i="7"/>
  <c r="G54" i="7"/>
  <c r="H54" i="7"/>
  <c r="I54" i="7"/>
  <c r="B55" i="7"/>
  <c r="C55" i="7"/>
  <c r="D55" i="7"/>
  <c r="E55" i="7"/>
  <c r="F55" i="7"/>
  <c r="G55" i="7"/>
  <c r="H55" i="7"/>
  <c r="I55" i="7"/>
  <c r="B56" i="7"/>
  <c r="C56" i="7"/>
  <c r="D56" i="7"/>
  <c r="E56" i="7"/>
  <c r="F56" i="7"/>
  <c r="G56" i="7"/>
  <c r="H56" i="7"/>
  <c r="I56" i="7"/>
  <c r="B57" i="7"/>
  <c r="C57" i="7"/>
  <c r="D57" i="7"/>
  <c r="E57" i="7"/>
  <c r="F57" i="7"/>
  <c r="G57" i="7"/>
  <c r="H57" i="7"/>
  <c r="I57" i="7"/>
  <c r="B58" i="7"/>
  <c r="C58" i="7"/>
  <c r="D58" i="7"/>
  <c r="E58" i="7"/>
  <c r="F58" i="7"/>
  <c r="G58" i="7"/>
  <c r="H58" i="7"/>
  <c r="I58" i="7"/>
  <c r="B59" i="7"/>
  <c r="C59" i="7"/>
  <c r="D59" i="7"/>
  <c r="E59" i="7"/>
  <c r="F59" i="7"/>
  <c r="G59" i="7"/>
  <c r="H59" i="7"/>
  <c r="I59" i="7"/>
  <c r="B60" i="7"/>
  <c r="C60" i="7"/>
  <c r="D60" i="7"/>
  <c r="E60" i="7"/>
  <c r="F60" i="7"/>
  <c r="G60" i="7"/>
  <c r="H60" i="7"/>
  <c r="I60" i="7"/>
  <c r="B61" i="7"/>
  <c r="C61" i="7"/>
  <c r="D61" i="7"/>
  <c r="E61" i="7"/>
  <c r="F61" i="7"/>
  <c r="G61" i="7"/>
  <c r="H61" i="7"/>
  <c r="I61" i="7"/>
  <c r="B62" i="7"/>
  <c r="C62" i="7"/>
  <c r="D62" i="7"/>
  <c r="E62" i="7"/>
  <c r="F62" i="7"/>
  <c r="G62" i="7"/>
  <c r="H62" i="7"/>
  <c r="I62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C5" i="7"/>
  <c r="D5" i="7"/>
  <c r="E5" i="7"/>
  <c r="F5" i="7"/>
  <c r="G5" i="7"/>
  <c r="H5" i="7"/>
  <c r="I5" i="7"/>
  <c r="B5" i="7"/>
  <c r="I6" i="6"/>
  <c r="H6" i="6"/>
  <c r="G6" i="6"/>
  <c r="F6" i="6"/>
  <c r="E6" i="6"/>
  <c r="D6" i="6"/>
  <c r="C6" i="6"/>
  <c r="B6" i="6"/>
  <c r="J5" i="6"/>
  <c r="J1" i="6"/>
  <c r="C16" i="9" l="1"/>
  <c r="J7" i="8"/>
  <c r="J6" i="6"/>
  <c r="B19" i="6" s="1"/>
  <c r="C19" i="6" s="1"/>
  <c r="L2" i="18" s="1"/>
  <c r="H6" i="17"/>
  <c r="G6" i="17"/>
  <c r="F6" i="17"/>
  <c r="E6" i="17"/>
  <c r="D6" i="17"/>
  <c r="C6" i="17"/>
  <c r="K1" i="17"/>
  <c r="I6" i="11"/>
  <c r="H6" i="11"/>
  <c r="G6" i="11"/>
  <c r="F6" i="11"/>
  <c r="E6" i="11"/>
  <c r="D6" i="11"/>
  <c r="C6" i="11"/>
  <c r="B6" i="11"/>
  <c r="J5" i="11"/>
  <c r="J1" i="11"/>
  <c r="K6" i="17" l="1"/>
  <c r="B19" i="17" s="1"/>
  <c r="C17" i="9"/>
  <c r="J6" i="11"/>
  <c r="B19" i="11" s="1"/>
  <c r="C19" i="11" l="1"/>
  <c r="C19" i="17"/>
  <c r="I7" i="4"/>
  <c r="H7" i="4"/>
  <c r="G7" i="4"/>
  <c r="F7" i="4"/>
  <c r="E7" i="4"/>
  <c r="D7" i="4"/>
  <c r="C7" i="4"/>
  <c r="J5" i="5"/>
  <c r="I6" i="5"/>
  <c r="H6" i="5"/>
  <c r="G6" i="5"/>
  <c r="F6" i="5"/>
  <c r="E6" i="5"/>
  <c r="D6" i="5"/>
  <c r="C6" i="5"/>
  <c r="B6" i="5"/>
  <c r="J1" i="5"/>
  <c r="J6" i="4"/>
  <c r="H1" i="4"/>
  <c r="J1" i="4" s="1"/>
  <c r="B20" i="3"/>
  <c r="I18" i="3"/>
  <c r="I30" i="3" s="1"/>
  <c r="H17" i="3"/>
  <c r="H29" i="3" s="1"/>
  <c r="G16" i="3"/>
  <c r="G28" i="3" s="1"/>
  <c r="F15" i="3"/>
  <c r="F27" i="3" s="1"/>
  <c r="E14" i="3"/>
  <c r="E26" i="3" s="1"/>
  <c r="D13" i="3"/>
  <c r="D25" i="3" s="1"/>
  <c r="C12" i="3"/>
  <c r="C24" i="3" s="1"/>
  <c r="J7" i="4" l="1"/>
  <c r="G29" i="3"/>
  <c r="H28" i="3" s="1" a="1"/>
  <c r="H28" i="3" s="1"/>
  <c r="D29" i="3"/>
  <c r="C26" i="3"/>
  <c r="B26" i="3"/>
  <c r="E27" i="3"/>
  <c r="F26" i="3" s="1" a="1"/>
  <c r="F26" i="3" s="1"/>
  <c r="C29" i="3"/>
  <c r="G30" i="3"/>
  <c r="D30" i="3"/>
  <c r="F30" i="3"/>
  <c r="B27" i="3"/>
  <c r="B28" i="3"/>
  <c r="B29" i="3"/>
  <c r="F28" i="3"/>
  <c r="C27" i="3"/>
  <c r="C28" i="3"/>
  <c r="E28" i="3"/>
  <c r="E29" i="3"/>
  <c r="E30" i="3"/>
  <c r="D26" i="3"/>
  <c r="D27" i="3"/>
  <c r="D28" i="3"/>
  <c r="F29" i="3"/>
  <c r="B30" i="3"/>
  <c r="H30" i="3"/>
  <c r="I29" i="3" s="1" a="1"/>
  <c r="I29" i="3" s="1"/>
  <c r="J6" i="5"/>
  <c r="B19" i="5" s="1"/>
  <c r="C19" i="5" l="1"/>
  <c r="D24" i="3" a="1"/>
  <c r="D24" i="3" s="1"/>
  <c r="B13" i="19" s="1"/>
  <c r="G27" i="3" a="1"/>
  <c r="G27" i="3" s="1"/>
  <c r="C20" i="4"/>
  <c r="K2" i="18" s="1"/>
  <c r="A8" i="6" l="1" a="1"/>
  <c r="A8" i="17" a="1"/>
  <c r="A8" i="11" a="1"/>
  <c r="A8" i="5" a="1"/>
  <c r="B21" i="5" s="1" a="1"/>
  <c r="B21" i="5" s="1"/>
  <c r="C21" i="5" s="1"/>
  <c r="A9" i="4" a="1"/>
  <c r="B22" i="4" s="1" a="1"/>
  <c r="B22" i="4" s="1"/>
  <c r="B26" i="19" l="1"/>
  <c r="B28" i="19" s="1"/>
  <c r="A9" i="4"/>
  <c r="C22" i="4"/>
  <c r="A8" i="5"/>
  <c r="A8" i="11"/>
  <c r="B21" i="11" a="1"/>
  <c r="B21" i="11" s="1"/>
  <c r="C21" i="11" s="1"/>
  <c r="A8" i="17"/>
  <c r="B21" i="17" a="1"/>
  <c r="B21" i="17" s="1"/>
  <c r="A8" i="6"/>
  <c r="B21" i="6" a="1"/>
  <c r="B21" i="6" s="1"/>
  <c r="J22" i="19"/>
  <c r="K19" i="19"/>
  <c r="J19" i="19"/>
  <c r="I19" i="19"/>
  <c r="H19" i="19"/>
  <c r="G19" i="19"/>
  <c r="F19" i="19"/>
  <c r="E19" i="19"/>
  <c r="D19" i="19"/>
  <c r="C19" i="19"/>
  <c r="B19" i="19"/>
  <c r="J18" i="19"/>
  <c r="I18" i="19"/>
  <c r="H18" i="19"/>
  <c r="G18" i="19"/>
  <c r="F18" i="19"/>
  <c r="E18" i="19"/>
  <c r="D18" i="19"/>
  <c r="C18" i="19"/>
  <c r="K17" i="19"/>
  <c r="J17" i="19"/>
  <c r="I17" i="19"/>
  <c r="H17" i="19"/>
  <c r="G17" i="19"/>
  <c r="F17" i="19"/>
  <c r="E17" i="19"/>
  <c r="D17" i="19"/>
  <c r="C17" i="19"/>
  <c r="J7" i="19"/>
  <c r="J4" i="19"/>
  <c r="K3" i="19"/>
  <c r="J3" i="19"/>
  <c r="I7" i="3"/>
  <c r="H7" i="3"/>
  <c r="G7" i="3"/>
  <c r="F7" i="3"/>
  <c r="E7" i="3"/>
  <c r="D7" i="3"/>
  <c r="C7" i="3"/>
  <c r="I4" i="3"/>
  <c r="I6" i="3" s="1"/>
  <c r="H4" i="3"/>
  <c r="H6" i="3" s="1"/>
  <c r="G4" i="3"/>
  <c r="G6" i="3" s="1"/>
  <c r="F4" i="3"/>
  <c r="F6" i="3" s="1"/>
  <c r="E4" i="3"/>
  <c r="E6" i="3" s="1"/>
  <c r="D4" i="3"/>
  <c r="D6" i="3" s="1"/>
  <c r="C4" i="3"/>
  <c r="C6" i="3" s="1"/>
  <c r="B6" i="3"/>
  <c r="B3" i="18" s="1"/>
  <c r="I3" i="3"/>
  <c r="I5" i="3" s="1"/>
  <c r="H3" i="3"/>
  <c r="H5" i="3" s="1"/>
  <c r="G3" i="3"/>
  <c r="G5" i="3" s="1"/>
  <c r="F3" i="3"/>
  <c r="F5" i="3" s="1"/>
  <c r="E3" i="3"/>
  <c r="E5" i="3" s="1"/>
  <c r="D3" i="3"/>
  <c r="D5" i="3" s="1"/>
  <c r="C3" i="3"/>
  <c r="C5" i="3" s="1"/>
  <c r="B5" i="3"/>
  <c r="B2" i="18" s="1"/>
  <c r="C21" i="6" l="1"/>
  <c r="B20" i="6"/>
  <c r="C21" i="17"/>
  <c r="B20" i="17"/>
  <c r="B20" i="11"/>
  <c r="B20" i="5"/>
  <c r="B23" i="5" s="1"/>
  <c r="B21" i="4"/>
  <c r="C21" i="4" s="1"/>
  <c r="B24" i="4" l="1"/>
  <c r="C24" i="4"/>
  <c r="C20" i="5"/>
  <c r="C20" i="11"/>
  <c r="C23" i="11" s="1"/>
  <c r="B23" i="11"/>
  <c r="C20" i="17"/>
  <c r="C23" i="17" s="1"/>
  <c r="B23" i="17"/>
  <c r="C20" i="6"/>
  <c r="B23" i="6"/>
  <c r="C23" i="5" l="1"/>
  <c r="H20" i="5"/>
  <c r="I20" i="5" s="1"/>
  <c r="J20" i="5" s="1"/>
  <c r="K3" i="18"/>
  <c r="L3" i="18"/>
  <c r="C2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<sst xmlns="http://schemas.openxmlformats.org/spreadsheetml/2006/main" count="657" uniqueCount="136">
  <si>
    <t>Date</t>
  </si>
  <si>
    <t>XOM</t>
  </si>
  <si>
    <t>GE</t>
  </si>
  <si>
    <t>HD</t>
  </si>
  <si>
    <t>JNJ</t>
  </si>
  <si>
    <t>VZ</t>
  </si>
  <si>
    <t>WMT</t>
  </si>
  <si>
    <t>BAC</t>
  </si>
  <si>
    <t>NFLX</t>
  </si>
  <si>
    <t>RF</t>
  </si>
  <si>
    <t>Market</t>
  </si>
  <si>
    <t>Monthly mu</t>
  </si>
  <si>
    <t>Monthly sigma</t>
  </si>
  <si>
    <t>Annually mu</t>
  </si>
  <si>
    <t>Annual sigma</t>
  </si>
  <si>
    <t>Covariance</t>
  </si>
  <si>
    <t>Population covariance matrix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</si>
  <si>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</si>
  <si>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</si>
  <si>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</si>
  <si>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</si>
  <si>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</si>
  <si>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</si>
  <si>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</si>
  <si>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</si>
  <si>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N</t>
  </si>
  <si>
    <t>Samle covariance matrix</t>
  </si>
  <si>
    <t>Ticker</t>
  </si>
  <si>
    <t>Annual average returns</t>
  </si>
  <si>
    <t>Annual volatility (sigma)</t>
  </si>
  <si>
    <t>Monthly</t>
  </si>
  <si>
    <t>XOM_avrg</t>
  </si>
  <si>
    <t>GE_avrg</t>
  </si>
  <si>
    <t>HD_avrg</t>
  </si>
  <si>
    <t>JNJ_avrg</t>
  </si>
  <si>
    <t>VZ_avrg</t>
  </si>
  <si>
    <t>WMT_avrg</t>
  </si>
  <si>
    <t>BAC_avrg</t>
  </si>
  <si>
    <t>NFLX_avrg</t>
  </si>
  <si>
    <t>Average montly returns</t>
  </si>
  <si>
    <t>Monthly standard deviations (sigma)</t>
  </si>
  <si>
    <t>Total</t>
  </si>
  <si>
    <t>Weights</t>
  </si>
  <si>
    <t>EW portfolio</t>
  </si>
  <si>
    <t>Monthly average returns</t>
  </si>
  <si>
    <t>Sigma</t>
  </si>
  <si>
    <t>Risk free rate</t>
  </si>
  <si>
    <t>Sharpe Ratio</t>
  </si>
  <si>
    <t>Annually</t>
  </si>
  <si>
    <t>Annual standard deviations (sigma)</t>
  </si>
  <si>
    <t>n</t>
  </si>
  <si>
    <t>EW</t>
  </si>
  <si>
    <t>Sum</t>
  </si>
  <si>
    <t>Weighted returns</t>
  </si>
  <si>
    <t>Min Variance Portfolio</t>
  </si>
  <si>
    <t xml:space="preserve">Annualized </t>
  </si>
  <si>
    <t>Mu_p</t>
  </si>
  <si>
    <t>Sigma_p</t>
  </si>
  <si>
    <t>Sigma^2_p</t>
  </si>
  <si>
    <t>Sharpe ratio</t>
  </si>
  <si>
    <t>Solver: Minimize monthly variance (B22)</t>
  </si>
  <si>
    <t>Best Portfolio No Short Selling</t>
  </si>
  <si>
    <t>Solver: Maximize monthly sharpe ratio (B23)</t>
  </si>
  <si>
    <t>Non-negative values only</t>
  </si>
  <si>
    <t>Exxon Mobil Corp</t>
  </si>
  <si>
    <t>General Electric</t>
  </si>
  <si>
    <t>Home Depot Inc</t>
  </si>
  <si>
    <t>Johnson &amp; Johnson</t>
  </si>
  <si>
    <t>Verizon Communications Inc</t>
  </si>
  <si>
    <t>Walmart Inc</t>
  </si>
  <si>
    <t>Bank of America Corp</t>
  </si>
  <si>
    <t>Netflix</t>
  </si>
  <si>
    <t>Avarage montly returns</t>
  </si>
  <si>
    <t>Best Portfolio, weights&lt;20%</t>
  </si>
  <si>
    <t>Restrictions: each weight cannot be lower than-20% or higher than 20%.</t>
  </si>
  <si>
    <t>Best Portfolio, sigma=market</t>
  </si>
  <si>
    <t>Restrictions: sigma_p = sigma_m (B20 = J4)</t>
  </si>
  <si>
    <t>Best Portfolio</t>
  </si>
  <si>
    <t>Annualized</t>
  </si>
  <si>
    <t>MVP</t>
  </si>
  <si>
    <t>Best portfolio</t>
  </si>
  <si>
    <t>Stocks</t>
  </si>
  <si>
    <t>EW Portfolio</t>
  </si>
  <si>
    <t>Excess return</t>
  </si>
  <si>
    <t>XOM_rf</t>
  </si>
  <si>
    <t>GE_rf</t>
  </si>
  <si>
    <t>HD_rf</t>
  </si>
  <si>
    <t>JNJ_rf</t>
  </si>
  <si>
    <t>VZ_rf</t>
  </si>
  <si>
    <t>WMT_rf</t>
  </si>
  <si>
    <t>BAC_rf</t>
  </si>
  <si>
    <t>NFLX_rf</t>
  </si>
  <si>
    <t>Market_rf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</si>
  <si>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</si>
  <si>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</si>
  <si>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</si>
  <si>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</si>
  <si>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</si>
  <si>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</si>
  <si>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</si>
  <si>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</si>
  <si>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</si>
  <si>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</si>
  <si>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</si>
  <si>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</si>
  <si>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</si>
  <si>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</si>
  <si>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</si>
  <si>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</si>
  <si>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</si>
  <si>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</si>
  <si>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</si>
  <si>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</si>
  <si>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</si>
  <si>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</si>
  <si>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Alpha</t>
  </si>
  <si>
    <t>Beta</t>
  </si>
  <si>
    <t>Idiosyncratic volatility</t>
  </si>
  <si>
    <t>Risk premium</t>
  </si>
  <si>
    <t>Equal weights</t>
  </si>
  <si>
    <t>Idiosyncratic volatility / sigma_e</t>
  </si>
  <si>
    <t>sigma_m^2</t>
  </si>
  <si>
    <t>Risk premium / mu_m</t>
  </si>
  <si>
    <t>w*alpha</t>
  </si>
  <si>
    <t>w*beta</t>
  </si>
  <si>
    <t>w^2*sigma_e^2</t>
  </si>
  <si>
    <t>Sigma_p^2</t>
  </si>
  <si>
    <t>avarage return</t>
  </si>
  <si>
    <t>sigma</t>
  </si>
  <si>
    <t>variance</t>
  </si>
  <si>
    <t>rf = 3%</t>
  </si>
  <si>
    <t>Covariance matrix population</t>
  </si>
  <si>
    <t>Covariance matrix sample</t>
  </si>
  <si>
    <t>mnd</t>
  </si>
  <si>
    <t>y</t>
  </si>
  <si>
    <t>manuell utregning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</si>
</sst>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0.000"/>
    <numFmt numFmtId="166" formatCode="0.000000"/>
    <numFmt numFmtId="167" formatCode="0.0000"/>
    <numFmt numFmtId="168" formatCode="0.00000"/>
  </numFmts>
  <fonts count="1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/>
    <xf numFmtId="0" fontId="0" fillId="0" borderId="2" xfId="0" applyBorder="1"/>
    <xf numFmtId="164" fontId="0" fillId="0" borderId="5" xfId="0" applyNumberFormat="1" applyBorder="1"/>
    <xf numFmtId="164" fontId="0" fillId="0" borderId="7" xfId="0" applyNumberFormat="1" applyBorder="1"/>
    <xf numFmtId="0" fontId="2" fillId="0" borderId="5" xfId="1" applyBorder="1"/>
    <xf numFmtId="0" fontId="2" fillId="0" borderId="7" xfId="1" applyBorder="1"/>
    <xf numFmtId="0" fontId="0" fillId="0" borderId="12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3" borderId="0" xfId="0" applyFill="1" applyAlignment="1">
      <alignment horizontal="left"/>
    </xf>
    <xf numFmtId="165" fontId="0" fillId="0" borderId="0" xfId="0" applyNumberFormat="1"/>
    <xf numFmtId="0" fontId="0" fillId="3" borderId="0" xfId="0" applyFill="1"/>
    <xf numFmtId="0" fontId="5" fillId="0" borderId="0" xfId="0" applyFont="1"/>
    <xf numFmtId="10" fontId="0" fillId="0" borderId="0" xfId="2" applyNumberFormat="1" applyFont="1"/>
    <xf numFmtId="0" fontId="5" fillId="0" borderId="0" xfId="0" applyFont="1" applyAlignment="1">
      <alignment horizontal="center"/>
    </xf>
    <xf numFmtId="165" fontId="0" fillId="0" borderId="0" xfId="2" applyNumberFormat="1" applyFont="1"/>
    <xf numFmtId="0" fontId="6" fillId="0" borderId="0" xfId="0" applyFont="1"/>
    <xf numFmtId="0" fontId="9" fillId="0" borderId="0" xfId="0" applyFont="1"/>
    <xf numFmtId="167" fontId="0" fillId="0" borderId="0" xfId="0" applyNumberFormat="1"/>
    <xf numFmtId="165" fontId="9" fillId="0" borderId="0" xfId="2" applyNumberFormat="1" applyFont="1" applyFill="1" applyBorder="1"/>
    <xf numFmtId="165" fontId="9" fillId="0" borderId="0" xfId="0" applyNumberFormat="1" applyFont="1"/>
    <xf numFmtId="10" fontId="0" fillId="3" borderId="0" xfId="2" applyNumberFormat="1" applyFont="1" applyFill="1"/>
    <xf numFmtId="0" fontId="7" fillId="0" borderId="0" xfId="0" applyFont="1" applyAlignment="1">
      <alignment horizontal="right"/>
    </xf>
    <xf numFmtId="0" fontId="10" fillId="0" borderId="13" xfId="0" applyFont="1" applyBorder="1" applyAlignment="1">
      <alignment horizontal="center"/>
    </xf>
    <xf numFmtId="166" fontId="0" fillId="0" borderId="0" xfId="0" applyNumberFormat="1"/>
    <xf numFmtId="166" fontId="0" fillId="0" borderId="2" xfId="0" applyNumberFormat="1" applyBorder="1"/>
    <xf numFmtId="165" fontId="0" fillId="4" borderId="0" xfId="0" applyNumberFormat="1" applyFill="1"/>
    <xf numFmtId="0" fontId="0" fillId="5" borderId="0" xfId="0" applyFill="1"/>
    <xf numFmtId="10" fontId="9" fillId="3" borderId="0" xfId="2" applyNumberFormat="1" applyFont="1" applyFill="1" applyBorder="1"/>
    <xf numFmtId="0" fontId="10" fillId="0" borderId="13" xfId="0" applyFont="1" applyBorder="1" applyAlignment="1">
      <alignment horizontal="centerContinuous"/>
    </xf>
    <xf numFmtId="0" fontId="0" fillId="6" borderId="2" xfId="0" applyFill="1" applyBorder="1"/>
    <xf numFmtId="0" fontId="0" fillId="6" borderId="0" xfId="0" applyFill="1"/>
    <xf numFmtId="168" fontId="0" fillId="0" borderId="0" xfId="0" applyNumberFormat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right"/>
    </xf>
    <xf numFmtId="0" fontId="11" fillId="7" borderId="0" xfId="0" applyFont="1" applyFill="1" applyAlignment="1">
      <alignment horizontal="center"/>
    </xf>
    <xf numFmtId="0" fontId="11" fillId="7" borderId="0" xfId="0" applyFont="1" applyFill="1"/>
    <xf numFmtId="0" fontId="7" fillId="7" borderId="0" xfId="0" applyFont="1" applyFill="1"/>
    <xf numFmtId="0" fontId="0" fillId="7" borderId="0" xfId="0" applyFill="1"/>
    <xf numFmtId="0" fontId="0" fillId="0" borderId="14" xfId="0" applyBorder="1"/>
    <xf numFmtId="0" fontId="11" fillId="7" borderId="14" xfId="0" applyFont="1" applyFill="1" applyBorder="1" applyAlignment="1">
      <alignment horizontal="right"/>
    </xf>
    <xf numFmtId="0" fontId="0" fillId="0" borderId="15" xfId="0" applyBorder="1"/>
    <xf numFmtId="168" fontId="0" fillId="2" borderId="0" xfId="0" applyNumberFormat="1" applyFill="1" applyAlignment="1">
      <alignment horizontal="center"/>
    </xf>
    <xf numFmtId="165" fontId="9" fillId="4" borderId="0" xfId="2" applyNumberFormat="1" applyFont="1" applyFill="1" applyBorder="1"/>
    <xf numFmtId="0" fontId="11" fillId="7" borderId="0" xfId="0" applyFont="1" applyFill="1" applyAlignment="1">
      <alignment vertical="center"/>
    </xf>
    <xf numFmtId="167" fontId="9" fillId="0" borderId="0" xfId="2" applyNumberFormat="1" applyFont="1" applyFill="1" applyBorder="1"/>
    <xf numFmtId="165" fontId="9" fillId="2" borderId="0" xfId="0" applyNumberFormat="1" applyFont="1" applyFill="1"/>
    <xf numFmtId="167" fontId="9" fillId="0" borderId="0" xfId="0" applyNumberFormat="1" applyFont="1"/>
    <xf numFmtId="167" fontId="9" fillId="2" borderId="0" xfId="0" applyNumberFormat="1" applyFont="1" applyFill="1"/>
    <xf numFmtId="0" fontId="11" fillId="0" borderId="0" xfId="0" applyFont="1"/>
    <xf numFmtId="165" fontId="0" fillId="0" borderId="0" xfId="0" applyNumberFormat="1" applyAlignment="1">
      <alignment horizontal="center"/>
    </xf>
    <xf numFmtId="165" fontId="0" fillId="4" borderId="0" xfId="0" applyNumberFormat="1" applyFill="1" applyAlignment="1">
      <alignment horizontal="center"/>
    </xf>
    <xf numFmtId="165" fontId="1" fillId="0" borderId="0" xfId="2" applyNumberFormat="1" applyFont="1"/>
    <xf numFmtId="165" fontId="5" fillId="0" borderId="0" xfId="0" applyNumberFormat="1" applyFont="1"/>
    <xf numFmtId="0" fontId="9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6" fillId="7" borderId="0" xfId="0" applyFont="1" applyFill="1"/>
    <xf numFmtId="0" fontId="3" fillId="3" borderId="16" xfId="0" applyFont="1" applyFill="1" applyBorder="1"/>
    <xf numFmtId="0" fontId="5" fillId="3" borderId="18" xfId="0" applyFont="1" applyFill="1" applyBorder="1"/>
    <xf numFmtId="0" fontId="3" fillId="3" borderId="17" xfId="0" applyFont="1" applyFill="1" applyBorder="1"/>
    <xf numFmtId="0" fontId="13" fillId="7" borderId="0" xfId="0" applyFont="1" applyFill="1"/>
    <xf numFmtId="166" fontId="6" fillId="3" borderId="0" xfId="0" applyNumberFormat="1" applyFont="1" applyFill="1"/>
    <xf numFmtId="0" fontId="11" fillId="7" borderId="3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8" borderId="19" xfId="0" applyFont="1" applyFill="1" applyBorder="1"/>
    <xf numFmtId="0" fontId="11" fillId="8" borderId="20" xfId="0" applyFont="1" applyFill="1" applyBorder="1"/>
    <xf numFmtId="0" fontId="11" fillId="8" borderId="21" xfId="0" applyFont="1" applyFill="1" applyBorder="1"/>
    <xf numFmtId="0" fontId="7" fillId="9" borderId="0" xfId="0" applyFont="1" applyFill="1"/>
    <xf numFmtId="0" fontId="7" fillId="9" borderId="0" xfId="0" applyFont="1" applyFill="1" applyAlignment="1">
      <alignment horizontal="center"/>
    </xf>
    <xf numFmtId="0" fontId="11" fillId="9" borderId="0" xfId="0" applyFont="1" applyFill="1" applyAlignment="1">
      <alignment vertical="center"/>
    </xf>
    <xf numFmtId="0" fontId="11" fillId="9" borderId="0" xfId="0" applyFont="1" applyFill="1" applyAlignment="1">
      <alignment horizontal="center" vertical="center"/>
    </xf>
    <xf numFmtId="10" fontId="0" fillId="0" borderId="0" xfId="0" applyNumberFormat="1"/>
    <xf numFmtId="0" fontId="11" fillId="7" borderId="0" xfId="0" applyFont="1" applyFill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1" fillId="7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0" fillId="0" borderId="13" xfId="0" applyFont="1" applyFill="1" applyBorder="1" applyAlignment="1">
      <alignment horizontal="center"/>
    </xf>
    <xf numFmtId="168" fontId="0" fillId="0" borderId="0" xfId="0" applyNumberFormat="1"/>
  </cellXfs>
  <cellStyles count="3">
    <cellStyle name="Normal" xfId="0" builtinId="0"/>
    <cellStyle name="Normal 2" xfId="1" xr:uid="{AAD02CFA-D6EB-4339-979A-59047C7C05D0}"/>
    <cellStyle name="Per cent" xfId="2" builtinId="5"/>
  </cellStyles>
  <dxfs count="27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Risk-return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719D69A-BA31-45C3-B543-0DB104C1ABA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712-4CD6-A1C8-493F829032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F3826F-D55F-4632-9E9C-3723DA074B2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712-4CD6-A1C8-493F829032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0718CC9-9721-419A-B10D-D8C1C4F10EC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12-4CD6-A1C8-493F829032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90D5A8-2B15-4920-BD16-A287CC7D481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712-4CD6-A1C8-493F829032C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616F2E7-C22A-469D-8927-28BC84FAB8A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712-4CD6-A1C8-493F829032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E944606-029E-49D0-8646-BA98B03BA46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712-4CD6-A1C8-493F829032C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D0DB8BA-265C-47A8-812B-7FA9D055EF1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712-4CD6-A1C8-493F829032C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F1C46DD-4835-43C5-AFBC-3B58CCA85C3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712-4CD6-A1C8-493F829032C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D04BEA5-270D-4B4F-919D-76F71B72D74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712-4CD6-A1C8-493F829032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'Plot Returns_Risk1'!$B$4:$J$4</c:f>
              <c:numCache>
                <c:formatCode>0.00%</c:formatCode>
                <c:ptCount val="9"/>
                <c:pt idx="0">
                  <c:v>0.29297828668081016</c:v>
                </c:pt>
                <c:pt idx="1">
                  <c:v>0.37069763009342732</c:v>
                </c:pt>
                <c:pt idx="2">
                  <c:v>0.22453829501895861</c:v>
                </c:pt>
                <c:pt idx="3">
                  <c:v>0.1607885086800423</c:v>
                </c:pt>
                <c:pt idx="4">
                  <c:v>0.1774545219743757</c:v>
                </c:pt>
                <c:pt idx="5">
                  <c:v>0.17983491985165606</c:v>
                </c:pt>
                <c:pt idx="6">
                  <c:v>0.31513528792811196</c:v>
                </c:pt>
                <c:pt idx="7">
                  <c:v>0.41829283451149091</c:v>
                </c:pt>
                <c:pt idx="8">
                  <c:v>0.16054033187162262</c:v>
                </c:pt>
              </c:numCache>
            </c:numRef>
          </c:xVal>
          <c:yVal>
            <c:numRef>
              <c:f>'Plot Returns_Risk1'!$B$3:$J$3</c:f>
              <c:numCache>
                <c:formatCode>0.00%</c:formatCode>
                <c:ptCount val="9"/>
                <c:pt idx="0">
                  <c:v>0.12007766602073389</c:v>
                </c:pt>
                <c:pt idx="1">
                  <c:v>3.3527823225995235E-2</c:v>
                </c:pt>
                <c:pt idx="2">
                  <c:v>0.16967872383247595</c:v>
                </c:pt>
                <c:pt idx="3">
                  <c:v>9.2954967607511207E-2</c:v>
                </c:pt>
                <c:pt idx="4">
                  <c:v>3.9439546038920525E-2</c:v>
                </c:pt>
                <c:pt idx="5">
                  <c:v>0.15494871807095478</c:v>
                </c:pt>
                <c:pt idx="6">
                  <c:v>0.15858180992654525</c:v>
                </c:pt>
                <c:pt idx="7">
                  <c:v>0.27472815616056323</c:v>
                </c:pt>
                <c:pt idx="8">
                  <c:v>0.11922758393500002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'Plot Returns_Risk1'!$B$1:$J$1</c15:f>
                <c15:dlblRangeCache>
                  <c:ptCount val="9"/>
                  <c:pt idx="0">
                    <c:v>XOM</c:v>
                  </c:pt>
                  <c:pt idx="1">
                    <c:v>GE</c:v>
                  </c:pt>
                  <c:pt idx="2">
                    <c:v>HD</c:v>
                  </c:pt>
                  <c:pt idx="3">
                    <c:v>JNJ</c:v>
                  </c:pt>
                  <c:pt idx="4">
                    <c:v>VZ</c:v>
                  </c:pt>
                  <c:pt idx="5">
                    <c:v>WMT</c:v>
                  </c:pt>
                  <c:pt idx="6">
                    <c:v>BAC</c:v>
                  </c:pt>
                  <c:pt idx="7">
                    <c:v>NFLX</c:v>
                  </c:pt>
                  <c:pt idx="8">
                    <c:v>Market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712-4CD6-A1C8-493F82903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084096"/>
        <c:axId val="640084576"/>
      </c:scatterChart>
      <c:valAx>
        <c:axId val="64008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0084576"/>
        <c:crosses val="autoZero"/>
        <c:crossBetween val="midCat"/>
      </c:valAx>
      <c:valAx>
        <c:axId val="6400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008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Risk-return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93C-46D8-A256-88E103852942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FF0000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93C-46D8-A256-88E10385294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092847F-E83A-4EAC-96D6-0FF87B78771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93C-46D8-A256-88E10385294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A1BD25-4644-4E05-BB2E-149AC904D4F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93C-46D8-A256-88E10385294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99C3F6-8970-48F2-8E19-11279BBD92F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93C-46D8-A256-88E10385294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C51635-814A-468B-BDA2-05794548E80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93C-46D8-A256-88E10385294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BBC7A9-8673-4A83-AA30-9F412649A44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93C-46D8-A256-88E10385294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3F0948E-6151-4065-97F7-ACD9A2BBD41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93C-46D8-A256-88E10385294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CDA3EDB-07CC-40BE-B396-08AC0D61DE1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93C-46D8-A256-88E10385294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93E5BDB-8B26-4441-BC99-264BE20DF8F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93C-46D8-A256-88E103852942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A5E3A46-5B70-449A-B10E-8E667D0A988F}" type="CELLRANGE">
                      <a:rPr lang="en-US"/>
                      <a:pPr>
                        <a:defRPr/>
                      </a:pPr>
                      <a:t>[CELLRANGE]</a:t>
                    </a:fld>
                    <a:endParaRPr lang="en-GB"/>
                  </a:p>
                </c:rich>
              </c:tx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93C-46D8-A256-88E10385294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4B6381E-1CC1-4712-858B-C6546AE12F4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93C-46D8-A256-88E103852942}"/>
                </c:ext>
              </c:extLst>
            </c:dLbl>
            <c:dLbl>
              <c:idx val="1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02FFC82-3038-4EDB-BE38-48504A11CAC4}" type="CELLRANGE">
                      <a:rPr lang="en-US"/>
                      <a:pPr>
                        <a:defRPr/>
                      </a:pPr>
                      <a:t>[CELLRANGE]</a:t>
                    </a:fld>
                    <a:endParaRPr lang="en-GB"/>
                  </a:p>
                </c:rich>
              </c:tx>
              <c:spPr>
                <a:solidFill>
                  <a:schemeClr val="tx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93C-46D8-A256-88E1038529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'Plot Returns_Risk2'!$B$3:$L$3</c:f>
              <c:numCache>
                <c:formatCode>0.00%</c:formatCode>
                <c:ptCount val="11"/>
                <c:pt idx="0">
                  <c:v>0.29297828668081016</c:v>
                </c:pt>
                <c:pt idx="1">
                  <c:v>0.37069763009342732</c:v>
                </c:pt>
                <c:pt idx="2">
                  <c:v>0.22453829501895861</c:v>
                </c:pt>
                <c:pt idx="3">
                  <c:v>0.1607885086800423</c:v>
                </c:pt>
                <c:pt idx="4">
                  <c:v>0.1774545219743757</c:v>
                </c:pt>
                <c:pt idx="5">
                  <c:v>0.17983491985165606</c:v>
                </c:pt>
                <c:pt idx="6">
                  <c:v>0.31513528792811196</c:v>
                </c:pt>
                <c:pt idx="7">
                  <c:v>0.41829283451149091</c:v>
                </c:pt>
                <c:pt idx="8">
                  <c:v>0.16054033187162262</c:v>
                </c:pt>
                <c:pt idx="9">
                  <c:v>0.12601920080426743</c:v>
                </c:pt>
                <c:pt idx="10">
                  <c:v>0.22533420292738449</c:v>
                </c:pt>
              </c:numCache>
            </c:numRef>
          </c:xVal>
          <c:yVal>
            <c:numRef>
              <c:f>'Plot Returns_Risk2'!$B$2:$L$2</c:f>
              <c:numCache>
                <c:formatCode>0.00%</c:formatCode>
                <c:ptCount val="11"/>
                <c:pt idx="0">
                  <c:v>0.12007766602073389</c:v>
                </c:pt>
                <c:pt idx="1">
                  <c:v>3.3527823225995235E-2</c:v>
                </c:pt>
                <c:pt idx="2">
                  <c:v>0.16967872383247595</c:v>
                </c:pt>
                <c:pt idx="3">
                  <c:v>9.2954967607511207E-2</c:v>
                </c:pt>
                <c:pt idx="4">
                  <c:v>3.9439546038920525E-2</c:v>
                </c:pt>
                <c:pt idx="5">
                  <c:v>0.15494871807095478</c:v>
                </c:pt>
                <c:pt idx="6">
                  <c:v>0.15858180992654525</c:v>
                </c:pt>
                <c:pt idx="7">
                  <c:v>0.27472815616056323</c:v>
                </c:pt>
                <c:pt idx="8">
                  <c:v>0.11922758393500002</c:v>
                </c:pt>
                <c:pt idx="9">
                  <c:v>0.10082655102764229</c:v>
                </c:pt>
                <c:pt idx="10">
                  <c:v>0.25645265108851772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'Plot Returns_Risk2'!$B$1:$L$1</c15:f>
                <c15:dlblRangeCache>
                  <c:ptCount val="11"/>
                  <c:pt idx="0">
                    <c:v>XOM</c:v>
                  </c:pt>
                  <c:pt idx="1">
                    <c:v>GE</c:v>
                  </c:pt>
                  <c:pt idx="2">
                    <c:v>HD</c:v>
                  </c:pt>
                  <c:pt idx="3">
                    <c:v>JNJ</c:v>
                  </c:pt>
                  <c:pt idx="4">
                    <c:v>VZ</c:v>
                  </c:pt>
                  <c:pt idx="5">
                    <c:v>WMT</c:v>
                  </c:pt>
                  <c:pt idx="6">
                    <c:v>BAC</c:v>
                  </c:pt>
                  <c:pt idx="7">
                    <c:v>NFLX</c:v>
                  </c:pt>
                  <c:pt idx="8">
                    <c:v>Market</c:v>
                  </c:pt>
                  <c:pt idx="9">
                    <c:v>MVP</c:v>
                  </c:pt>
                  <c:pt idx="10">
                    <c:v>Best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93C-46D8-A256-88E103852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13408"/>
        <c:axId val="848822048"/>
      </c:scatterChart>
      <c:valAx>
        <c:axId val="84881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Annualized 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48822048"/>
        <c:crosses val="autoZero"/>
        <c:crossBetween val="midCat"/>
      </c:valAx>
      <c:valAx>
        <c:axId val="8488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Annualized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4881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276225</xdr:colOff>
      <xdr:row>24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004CF7-FC6E-BBD0-AB6C-18A5AEBAC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4762</xdr:rowOff>
    </xdr:from>
    <xdr:to>
      <xdr:col>11</xdr:col>
      <xdr:colOff>885825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13B54-812E-3130-572E-5CC7741B4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D5E183-DD96-4664-9BDF-A71F373B210D}"/>
            </a:ext>
          </a:extLst>
        </xdr:cNvPr>
        <xdr:cNvSpPr txBox="1"/>
      </xdr:nvSpPr>
      <xdr:spPr>
        <a:xfrm>
          <a:off x="5413375" y="1889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PT" sz="1100"/>
        </a:p>
      </xdr:txBody>
    </xdr:sp>
    <xdr:clientData/>
  </xdr:oneCellAnchor>
  <xdr:oneCellAnchor>
    <xdr:from>
      <xdr:col>6</xdr:col>
      <xdr:colOff>28575</xdr:colOff>
      <xdr:row>20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6A4C0E-C3D3-4DD9-9E2E-90E082E5A274}"/>
            </a:ext>
          </a:extLst>
        </xdr:cNvPr>
        <xdr:cNvSpPr txBox="1"/>
      </xdr:nvSpPr>
      <xdr:spPr>
        <a:xfrm>
          <a:off x="5862638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PT" sz="1100"/>
        </a:p>
      </xdr:txBody>
    </xdr:sp>
    <xdr:clientData/>
  </xdr:oneCellAnchor>
  <xdr:oneCellAnchor>
    <xdr:from>
      <xdr:col>6</xdr:col>
      <xdr:colOff>28575</xdr:colOff>
      <xdr:row>21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66F0FE-A630-4629-B5B9-673792096CFE}"/>
            </a:ext>
          </a:extLst>
        </xdr:cNvPr>
        <xdr:cNvSpPr txBox="1"/>
      </xdr:nvSpPr>
      <xdr:spPr>
        <a:xfrm>
          <a:off x="5862638" y="4286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PT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28336-0B97-405C-85F0-B66869727A2D}" name="Table1" displayName="Table1" ref="I2:P8" totalsRowShown="0" dataDxfId="26">
  <autoFilter ref="I2:P8" xr:uid="{61C28336-0B97-405C-85F0-B66869727A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199FA5E-2DF6-43EF-B228-A047D358B706}" name="Exxon Mobil Corp" dataDxfId="25"/>
    <tableColumn id="2" xr3:uid="{D2906578-B4B7-4FF0-AD05-AA232F81805E}" name="General Electric" dataDxfId="24"/>
    <tableColumn id="3" xr3:uid="{CB472834-FC44-468E-BC92-21C52B7508D8}" name="Home Depot Inc" dataDxfId="23"/>
    <tableColumn id="4" xr3:uid="{0FC5F300-8639-494C-99C1-645C4A089201}" name="Johnson &amp; Johnson" dataDxfId="22"/>
    <tableColumn id="5" xr3:uid="{F6007615-0E27-413A-BFF8-7091E0F42342}" name="Verizon Communications Inc" dataDxfId="21"/>
    <tableColumn id="6" xr3:uid="{770FCBEB-1468-4873-BF89-A406D684AD90}" name="Walmart Inc" dataDxfId="20"/>
    <tableColumn id="7" xr3:uid="{98861D4D-11C5-453C-A41E-A635C6595990}" name="Bank of America Corp" dataDxfId="19"/>
    <tableColumn id="8" xr3:uid="{4B708EA8-3211-4DCC-8BCF-B48D0909A7A4}" name="Netflix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BD27AF-43CB-48D8-AE6B-0ED8FF31C1C6}" name="Table5" displayName="Table5" ref="B2:F8" totalsRowShown="0" dataDxfId="17">
  <autoFilter ref="B2:F8" xr:uid="{2DBD27AF-43CB-48D8-AE6B-0ED8FF31C1C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94BDA6-EBF8-425C-AF75-FB1767AF063C}" name="Mu_p" dataDxfId="16"/>
    <tableColumn id="2" xr3:uid="{6166440B-4DEC-4615-88D2-78206EFEC12B}" name="Sigma_p" dataDxfId="15"/>
    <tableColumn id="3" xr3:uid="{1FE55B45-6979-4FDD-8EF1-6E76A271A9F8}" name="Sigma^2_p" dataDxfId="14"/>
    <tableColumn id="4" xr3:uid="{5FC47064-FC9A-48EF-A524-B587D1BF27C6}" name="Risk free rate" dataDxfId="13"/>
    <tableColumn id="5" xr3:uid="{E9962D51-53B8-4A7A-A93C-6399793B4C37}" name="Sharpe ratio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9558D4-088E-47F9-9C22-AD466D0DA1DA}" name="Table8" displayName="Table8" ref="B13:J18" totalsRowShown="0" headerRowDxfId="11">
  <autoFilter ref="B13:J18" xr:uid="{999558D4-088E-47F9-9C22-AD466D0DA1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A114D70-0DBD-4B21-8891-EBB257101897}" name="Exxon Mobil Corp"/>
    <tableColumn id="2" xr3:uid="{0E8CFCCC-144D-43A0-B982-929561B62A3F}" name="General Electric"/>
    <tableColumn id="3" xr3:uid="{F52659A0-9106-46D1-92F8-451469EC8753}" name="Home Depot Inc"/>
    <tableColumn id="4" xr3:uid="{6D5690A9-367B-4DC5-9B3A-B71EADF02025}" name="Johnson &amp; Johnson"/>
    <tableColumn id="5" xr3:uid="{F95C03F4-62BA-4A8D-BF24-2D9FD7ACB205}" name="Verizon Communications Inc"/>
    <tableColumn id="6" xr3:uid="{6BA24584-9CB3-4560-910E-8935FF8746B4}" name="Walmart Inc"/>
    <tableColumn id="7" xr3:uid="{109FA168-688E-442D-9A65-AE5771B5E58A}" name="Bank of America Corp"/>
    <tableColumn id="8" xr3:uid="{B24BC4F3-2AC1-4895-A88B-575B220BE589}" name="Netflix"/>
    <tableColumn id="9" xr3:uid="{D1754C11-F44D-4332-A118-E1D851B3C7D3}" name="Mark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AC6395-4C12-4144-8DAB-C98D7CD7F7F3}" name="Table9" displayName="Table9" ref="B22:K37" totalsRowShown="0" headerRowDxfId="10" dataDxfId="9">
  <autoFilter ref="B22:K37" xr:uid="{D7AC6395-4C12-4144-8DAB-C98D7CD7F7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E46BBA4-3AE0-44EC-9682-AA2C8B2FDFA5}" name="Exxon Mobil Corp" dataDxfId="8"/>
    <tableColumn id="2" xr3:uid="{1E3CEE04-09B7-4BEF-92E6-5E1D38B365C9}" name="General Electric" dataDxfId="7"/>
    <tableColumn id="3" xr3:uid="{65E3AAAE-D41E-4125-9E85-5CA332D3AD04}" name="Home Depot Inc" dataDxfId="6"/>
    <tableColumn id="4" xr3:uid="{6A2D886F-440B-471C-AEF5-03C55598C131}" name="Johnson &amp; Johnson" dataDxfId="5"/>
    <tableColumn id="5" xr3:uid="{B337F460-C402-4068-AD7C-27AA9BCFB5AA}" name="Verizon Communications Inc" dataDxfId="4"/>
    <tableColumn id="6" xr3:uid="{CEDB1278-1D5D-4AEF-BF38-6885443A7F6F}" name="Walmart Inc" dataDxfId="3"/>
    <tableColumn id="7" xr3:uid="{0FAC9015-51B1-4CEE-9CD2-D47462824F1A}" name="Bank of America Corp" dataDxfId="2"/>
    <tableColumn id="8" xr3:uid="{A41578DD-056B-4FDE-A0C9-288E3344DFDE}" name="Netflix" dataDxfId="1"/>
    <tableColumn id="9" xr3:uid="{D4260451-D54F-4F16-AC32-D7184306F9DD}" name="Market"/>
    <tableColumn id="10" xr3:uid="{0DD0CB27-2B2D-484C-8CBA-0F7D9B564043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"/>
  <sheetViews>
    <sheetView workbookViewId="0">
      <selection activeCell="N15" sqref="N15"/>
    </sheetView>
  </sheetViews>
  <sheetFormatPr defaultColWidth="9.28515625" defaultRowHeight="15" x14ac:dyDescent="0.25"/>
  <cols>
    <col min="1" max="1" width="14.5703125" style="14" bestFit="1" customWidth="1"/>
    <col min="2" max="10" width="9.7109375" bestFit="1" customWidth="1"/>
  </cols>
  <sheetData>
    <row r="1" spans="1:11" ht="15.75" thickBot="1" x14ac:dyDescent="0.3">
      <c r="A1" s="68" t="s">
        <v>0</v>
      </c>
      <c r="B1" s="69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69" t="s">
        <v>9</v>
      </c>
      <c r="K1" s="71" t="s">
        <v>10</v>
      </c>
    </row>
    <row r="2" spans="1:11" x14ac:dyDescent="0.25">
      <c r="A2" s="4">
        <v>42398</v>
      </c>
      <c r="B2" s="8">
        <v>-1.2828541221097112E-3</v>
      </c>
      <c r="C2" s="9">
        <v>-6.5810568630695343E-2</v>
      </c>
      <c r="D2" s="9">
        <v>-4.9073707312345505E-2</v>
      </c>
      <c r="E2" s="9">
        <v>1.674455963075161E-2</v>
      </c>
      <c r="F2" s="9">
        <v>9.3357853591442108E-2</v>
      </c>
      <c r="G2" s="9">
        <v>8.2544885575771332E-2</v>
      </c>
      <c r="H2" s="9">
        <v>-0.15983361005783081</v>
      </c>
      <c r="I2" s="9">
        <v>-0.19706243276596069</v>
      </c>
      <c r="J2" s="6">
        <v>1E-4</v>
      </c>
      <c r="K2" s="10">
        <v>-5.0735340000000004E-2</v>
      </c>
    </row>
    <row r="3" spans="1:11" x14ac:dyDescent="0.25">
      <c r="A3" s="4">
        <v>42429</v>
      </c>
      <c r="B3" s="11">
        <v>3.8921043276786804E-2</v>
      </c>
      <c r="C3">
        <v>9.2783160507678986E-3</v>
      </c>
      <c r="D3">
        <v>-1.3040707446634769E-2</v>
      </c>
      <c r="E3">
        <v>1.4553777873516083E-2</v>
      </c>
      <c r="F3">
        <v>1.5209091827273369E-2</v>
      </c>
      <c r="G3">
        <v>-3.014507528860122E-4</v>
      </c>
      <c r="H3">
        <v>-0.11456859111785889</v>
      </c>
      <c r="I3">
        <v>1.709502749145031E-2</v>
      </c>
      <c r="J3" s="6">
        <v>2.0000000000000001E-4</v>
      </c>
      <c r="K3" s="2">
        <v>-4.1283550000000002E-3</v>
      </c>
    </row>
    <row r="4" spans="1:11" x14ac:dyDescent="0.25">
      <c r="A4" s="4">
        <v>42460</v>
      </c>
      <c r="B4" s="11">
        <v>4.291946068406105E-2</v>
      </c>
      <c r="C4">
        <v>9.0940341353416443E-2</v>
      </c>
      <c r="D4">
        <v>8.0567106604576111E-2</v>
      </c>
      <c r="E4">
        <v>2.8419332578778267E-2</v>
      </c>
      <c r="F4">
        <v>6.6035918891429901E-2</v>
      </c>
      <c r="G4">
        <v>3.9945758879184723E-2</v>
      </c>
      <c r="H4">
        <v>8.3865813910961151E-2</v>
      </c>
      <c r="I4">
        <v>9.4422429800033569E-2</v>
      </c>
      <c r="J4" s="6">
        <v>2.0000000000000001E-4</v>
      </c>
      <c r="K4" s="2">
        <v>6.5991110000000006E-2</v>
      </c>
    </row>
    <row r="5" spans="1:11" x14ac:dyDescent="0.25">
      <c r="A5" s="4">
        <v>42489</v>
      </c>
      <c r="B5" s="11">
        <v>5.7542834430932999E-2</v>
      </c>
      <c r="C5">
        <v>-3.2714717090129852E-2</v>
      </c>
      <c r="D5">
        <v>3.4475510474294424E-3</v>
      </c>
      <c r="E5">
        <v>3.5859566181898117E-2</v>
      </c>
      <c r="F5">
        <v>-4.7614701092243195E-2</v>
      </c>
      <c r="G5">
        <v>-2.3653017356991768E-2</v>
      </c>
      <c r="H5">
        <v>7.6923072338104248E-2</v>
      </c>
      <c r="I5">
        <v>-0.11933878809213638</v>
      </c>
      <c r="J5" s="6">
        <v>1E-4</v>
      </c>
      <c r="K5" s="2">
        <v>2.69937E-3</v>
      </c>
    </row>
    <row r="6" spans="1:11" x14ac:dyDescent="0.25">
      <c r="A6" s="4">
        <v>42521</v>
      </c>
      <c r="B6" s="11">
        <v>1.5497681684792042E-2</v>
      </c>
      <c r="C6">
        <v>-1.6910584643483162E-2</v>
      </c>
      <c r="D6">
        <v>-8.0663552507758141E-3</v>
      </c>
      <c r="E6">
        <v>1.2580305337905884E-2</v>
      </c>
      <c r="F6">
        <v>-7.8518065856769681E-4</v>
      </c>
      <c r="G6">
        <v>6.5948791801929474E-2</v>
      </c>
      <c r="H6">
        <v>1.5796670690178871E-2</v>
      </c>
      <c r="I6">
        <v>0.13928692042827606</v>
      </c>
      <c r="J6" s="6">
        <v>1E-4</v>
      </c>
      <c r="K6" s="2">
        <v>1.5329490000000001E-2</v>
      </c>
    </row>
    <row r="7" spans="1:11" x14ac:dyDescent="0.25">
      <c r="A7" s="4">
        <v>42551</v>
      </c>
      <c r="B7" s="11">
        <v>5.3021807223558426E-2</v>
      </c>
      <c r="C7">
        <v>4.8957988619804382E-2</v>
      </c>
      <c r="D7">
        <v>-3.3530071377754211E-2</v>
      </c>
      <c r="E7">
        <v>7.6404295861721039E-2</v>
      </c>
      <c r="F7">
        <v>9.7053013741970062E-2</v>
      </c>
      <c r="G7">
        <v>3.1647328287363052E-2</v>
      </c>
      <c r="H7">
        <v>-9.9391445517539978E-2</v>
      </c>
      <c r="I7">
        <v>-0.10812124609947205</v>
      </c>
      <c r="J7" s="6">
        <v>2.0000000000000001E-4</v>
      </c>
      <c r="K7" s="2">
        <v>9.0607350000000003E-4</v>
      </c>
    </row>
    <row r="8" spans="1:11" x14ac:dyDescent="0.25">
      <c r="A8" s="4">
        <v>42580</v>
      </c>
      <c r="B8" s="11">
        <v>-5.1098793745040894E-2</v>
      </c>
      <c r="C8">
        <v>-1.0800513438880444E-2</v>
      </c>
      <c r="D8">
        <v>8.2621999084949493E-2</v>
      </c>
      <c r="E8">
        <v>3.2399013638496399E-2</v>
      </c>
      <c r="F8">
        <v>2.4176163133233786E-3</v>
      </c>
      <c r="G8">
        <v>-6.8468123208731413E-4</v>
      </c>
      <c r="H8">
        <v>9.1936647891998291E-2</v>
      </c>
      <c r="I8">
        <v>-2.5142473168671131E-3</v>
      </c>
      <c r="J8" s="6">
        <v>2.0000000000000001E-4</v>
      </c>
      <c r="K8" s="2">
        <v>3.5609809999999999E-2</v>
      </c>
    </row>
    <row r="9" spans="1:11" x14ac:dyDescent="0.25">
      <c r="A9" s="4">
        <v>42613</v>
      </c>
      <c r="B9" s="11">
        <v>-1.1916779913008213E-2</v>
      </c>
      <c r="C9">
        <v>3.2113161869347095E-3</v>
      </c>
      <c r="D9">
        <v>-2.4811996147036552E-2</v>
      </c>
      <c r="E9">
        <v>-4.0645267814397812E-2</v>
      </c>
      <c r="F9">
        <v>-5.5585600435733795E-2</v>
      </c>
      <c r="G9">
        <v>-1.411537267267704E-2</v>
      </c>
      <c r="H9">
        <v>0.11904759705066681</v>
      </c>
      <c r="I9">
        <v>6.7945174872875214E-2</v>
      </c>
      <c r="J9" s="6">
        <v>2.0000000000000001E-4</v>
      </c>
      <c r="K9" s="2">
        <v>-1.219176E-3</v>
      </c>
    </row>
    <row r="10" spans="1:11" x14ac:dyDescent="0.25">
      <c r="A10" s="4">
        <v>42643</v>
      </c>
      <c r="B10" s="11">
        <v>1.606603036634624E-3</v>
      </c>
      <c r="C10">
        <v>-4.4494204223155975E-2</v>
      </c>
      <c r="D10">
        <v>-4.0560711175203323E-2</v>
      </c>
      <c r="E10">
        <v>-1.0139090940356255E-2</v>
      </c>
      <c r="F10">
        <v>-6.6883675754070282E-3</v>
      </c>
      <c r="G10">
        <v>9.5184808596968651E-3</v>
      </c>
      <c r="H10">
        <v>-3.0359342694282532E-2</v>
      </c>
      <c r="I10">
        <v>1.1287902481853962E-2</v>
      </c>
      <c r="J10" s="6">
        <v>2.0000000000000001E-4</v>
      </c>
      <c r="K10" s="2">
        <v>-1.234483E-3</v>
      </c>
    </row>
    <row r="11" spans="1:11" x14ac:dyDescent="0.25">
      <c r="A11" s="4">
        <v>42674</v>
      </c>
      <c r="B11" s="11">
        <v>-4.5371208339929581E-2</v>
      </c>
      <c r="C11">
        <v>-1.755572110414505E-2</v>
      </c>
      <c r="D11">
        <v>-5.1833935081958771E-2</v>
      </c>
      <c r="E11">
        <v>-1.8115630373358727E-2</v>
      </c>
      <c r="F11">
        <v>-6.3534073531627655E-2</v>
      </c>
      <c r="G11">
        <v>-2.9118219390511513E-2</v>
      </c>
      <c r="H11">
        <v>5.4313123226165771E-2</v>
      </c>
      <c r="I11">
        <v>0.26707252860069275</v>
      </c>
      <c r="J11" s="6">
        <v>2.0000000000000001E-4</v>
      </c>
      <c r="K11" s="2">
        <v>-1.9425620000000001E-2</v>
      </c>
    </row>
    <row r="12" spans="1:11" x14ac:dyDescent="0.25">
      <c r="A12" s="4">
        <v>42704</v>
      </c>
      <c r="B12" s="11">
        <v>5.6769125163555145E-2</v>
      </c>
      <c r="C12">
        <v>5.7044666260480881E-2</v>
      </c>
      <c r="D12">
        <v>6.6224008798599243E-2</v>
      </c>
      <c r="E12">
        <v>-3.3537328243255615E-2</v>
      </c>
      <c r="F12">
        <v>3.7422101944684982E-2</v>
      </c>
      <c r="G12">
        <v>5.8555225841701031E-3</v>
      </c>
      <c r="H12">
        <v>0.28454551100730896</v>
      </c>
      <c r="I12">
        <v>-6.3025563955307007E-2</v>
      </c>
      <c r="J12" s="6">
        <v>1E-4</v>
      </c>
      <c r="K12" s="2">
        <v>3.4174450000000002E-2</v>
      </c>
    </row>
    <row r="13" spans="1:11" x14ac:dyDescent="0.25">
      <c r="A13" s="4">
        <v>42734</v>
      </c>
      <c r="B13" s="11">
        <v>3.3906061202287674E-2</v>
      </c>
      <c r="C13">
        <v>3.5110536962747574E-2</v>
      </c>
      <c r="D13">
        <v>3.616698831319809E-2</v>
      </c>
      <c r="E13">
        <v>3.5130243748426437E-2</v>
      </c>
      <c r="F13">
        <v>6.9739468395709991E-2</v>
      </c>
      <c r="G13">
        <v>-1.1500746011734009E-2</v>
      </c>
      <c r="H13">
        <v>4.64014932513237E-2</v>
      </c>
      <c r="I13">
        <v>5.8119684457778931E-2</v>
      </c>
      <c r="J13" s="6">
        <v>2.9999999999999997E-4</v>
      </c>
      <c r="K13" s="2">
        <v>1.8200750000000002E-2</v>
      </c>
    </row>
    <row r="14" spans="1:11" x14ac:dyDescent="0.25">
      <c r="A14" s="4">
        <v>42766</v>
      </c>
      <c r="B14" s="11">
        <v>-7.0573925971984863E-2</v>
      </c>
      <c r="C14">
        <v>-6.0126569122076035E-2</v>
      </c>
      <c r="D14">
        <v>2.6103818789124489E-2</v>
      </c>
      <c r="E14">
        <v>-1.7012404277920723E-2</v>
      </c>
      <c r="F14">
        <v>-7.1047261357307434E-2</v>
      </c>
      <c r="G14">
        <v>-3.4432940185070038E-2</v>
      </c>
      <c r="H14">
        <v>2.4434342980384827E-2</v>
      </c>
      <c r="I14">
        <v>0.13659130036830902</v>
      </c>
      <c r="J14" s="6">
        <v>4.0000000000000002E-4</v>
      </c>
      <c r="K14" s="2">
        <v>1.7884340000000002E-2</v>
      </c>
    </row>
    <row r="15" spans="1:11" x14ac:dyDescent="0.25">
      <c r="A15" s="4">
        <v>42794</v>
      </c>
      <c r="B15" s="11">
        <v>-2.1695073693990707E-2</v>
      </c>
      <c r="C15">
        <v>1.1784467846155167E-2</v>
      </c>
      <c r="D15">
        <v>5.3278107196092606E-2</v>
      </c>
      <c r="E15">
        <v>8.6181007325649261E-2</v>
      </c>
      <c r="F15">
        <v>1.2650536373257637E-2</v>
      </c>
      <c r="G15">
        <v>6.2780976295471191E-2</v>
      </c>
      <c r="H15">
        <v>9.0106047689914703E-2</v>
      </c>
      <c r="I15">
        <v>1.0091664269566536E-2</v>
      </c>
      <c r="J15" s="6">
        <v>4.0000000000000002E-4</v>
      </c>
      <c r="K15" s="2">
        <v>3.7198260000000004E-2</v>
      </c>
    </row>
    <row r="16" spans="1:11" x14ac:dyDescent="0.25">
      <c r="A16" s="4">
        <v>42825</v>
      </c>
      <c r="B16" s="11">
        <v>8.485027588903904E-3</v>
      </c>
      <c r="C16">
        <v>-3.354655927978456E-4</v>
      </c>
      <c r="D16">
        <v>1.9391333684325218E-2</v>
      </c>
      <c r="E16">
        <v>1.9147401675581932E-2</v>
      </c>
      <c r="F16">
        <v>-1.7731232568621635E-2</v>
      </c>
      <c r="G16">
        <v>2.3403376340866089E-2</v>
      </c>
      <c r="H16">
        <v>-4.1126422584056854E-2</v>
      </c>
      <c r="I16">
        <v>3.9963360875844955E-2</v>
      </c>
      <c r="J16" s="6">
        <v>2.9999999999999997E-4</v>
      </c>
      <c r="K16" s="2">
        <v>-3.8923020000000003E-4</v>
      </c>
    </row>
    <row r="17" spans="1:11" x14ac:dyDescent="0.25">
      <c r="A17" s="4">
        <v>42853</v>
      </c>
      <c r="B17" s="11">
        <v>-4.3897158466279507E-3</v>
      </c>
      <c r="C17">
        <v>-2.7181191369891167E-2</v>
      </c>
      <c r="D17">
        <v>6.3134267926216125E-2</v>
      </c>
      <c r="E17">
        <v>-8.671230636537075E-3</v>
      </c>
      <c r="F17">
        <v>-4.6410258859395981E-2</v>
      </c>
      <c r="G17">
        <v>4.3007746338844299E-2</v>
      </c>
      <c r="H17">
        <v>-1.0597710497677326E-2</v>
      </c>
      <c r="I17">
        <v>2.9700286686420441E-2</v>
      </c>
      <c r="J17" s="6">
        <v>5.0000000000000001E-4</v>
      </c>
      <c r="K17" s="2">
        <v>9.0912170000000004E-3</v>
      </c>
    </row>
    <row r="18" spans="1:11" x14ac:dyDescent="0.25">
      <c r="A18" s="4">
        <v>42886</v>
      </c>
      <c r="B18" s="11">
        <v>-4.6540298499166965E-3</v>
      </c>
      <c r="C18">
        <v>-5.5536411702632904E-2</v>
      </c>
      <c r="D18">
        <v>-1.0890528559684753E-2</v>
      </c>
      <c r="E18">
        <v>4.5517120510339737E-2</v>
      </c>
      <c r="F18">
        <v>1.5900665894150734E-2</v>
      </c>
      <c r="G18">
        <v>5.2274517714977264E-2</v>
      </c>
      <c r="H18">
        <v>-3.663240373134613E-2</v>
      </c>
      <c r="I18">
        <v>7.1419253945350647E-2</v>
      </c>
      <c r="J18" s="6">
        <v>5.9999999999999995E-4</v>
      </c>
      <c r="K18" s="2">
        <v>1.157621E-2</v>
      </c>
    </row>
    <row r="19" spans="1:11" x14ac:dyDescent="0.25">
      <c r="A19" s="4">
        <v>42916</v>
      </c>
      <c r="B19" s="11">
        <v>2.8571845032274723E-3</v>
      </c>
      <c r="C19">
        <v>-4.7479523345828056E-3</v>
      </c>
      <c r="D19">
        <v>-7.1656971704214811E-4</v>
      </c>
      <c r="E19">
        <v>3.1500920653343201E-2</v>
      </c>
      <c r="F19">
        <v>-4.2452819645404816E-2</v>
      </c>
      <c r="G19">
        <v>-3.7150103598833084E-2</v>
      </c>
      <c r="H19">
        <v>8.2552447915077209E-2</v>
      </c>
      <c r="I19">
        <v>-8.3767727017402649E-2</v>
      </c>
      <c r="J19" s="6">
        <v>5.9999999999999995E-4</v>
      </c>
      <c r="K19" s="2">
        <v>4.8138320000000005E-3</v>
      </c>
    </row>
    <row r="20" spans="1:11" x14ac:dyDescent="0.25">
      <c r="A20" s="4">
        <v>42947</v>
      </c>
      <c r="B20" s="11">
        <v>-8.547038771212101E-3</v>
      </c>
      <c r="C20">
        <v>-5.1832638680934906E-2</v>
      </c>
      <c r="D20">
        <v>-2.4771759286522865E-2</v>
      </c>
      <c r="E20">
        <v>3.2504948321729898E-3</v>
      </c>
      <c r="F20">
        <v>9.6674911677837372E-2</v>
      </c>
      <c r="G20">
        <v>5.6950286030769348E-2</v>
      </c>
      <c r="H20">
        <v>-5.7707908563315868E-3</v>
      </c>
      <c r="I20">
        <v>0.21584899723529816</v>
      </c>
      <c r="J20" s="6">
        <v>7.000000000000001E-4</v>
      </c>
      <c r="K20" s="2">
        <v>1.9348770000000001E-2</v>
      </c>
    </row>
    <row r="21" spans="1:11" x14ac:dyDescent="0.25">
      <c r="A21" s="4">
        <v>42978</v>
      </c>
      <c r="B21" s="11">
        <v>-3.6731623113155365E-2</v>
      </c>
      <c r="C21">
        <v>-4.1390135884284973E-2</v>
      </c>
      <c r="D21">
        <v>7.7539370395243168E-3</v>
      </c>
      <c r="E21">
        <v>3.6919368430972099E-3</v>
      </c>
      <c r="F21">
        <v>-8.8843032717704773E-3</v>
      </c>
      <c r="G21">
        <v>-1.7627181485295296E-2</v>
      </c>
      <c r="H21">
        <v>-4.5605907216668129E-3</v>
      </c>
      <c r="I21">
        <v>-3.825826570391655E-2</v>
      </c>
      <c r="J21" s="6">
        <v>8.9999999999999998E-4</v>
      </c>
      <c r="K21" s="2">
        <v>5.4649229999999998E-4</v>
      </c>
    </row>
    <row r="22" spans="1:11" x14ac:dyDescent="0.25">
      <c r="A22" s="4">
        <v>43007</v>
      </c>
      <c r="B22" s="11">
        <v>7.4020721018314362E-2</v>
      </c>
      <c r="C22">
        <v>-5.2952724508941174E-3</v>
      </c>
      <c r="D22">
        <v>9.1345854103565216E-2</v>
      </c>
      <c r="E22">
        <v>-1.7828818410634995E-2</v>
      </c>
      <c r="F22">
        <v>3.1686481088399887E-2</v>
      </c>
      <c r="G22">
        <v>8.9662731625139713E-4</v>
      </c>
      <c r="H22">
        <v>6.069488450884819E-2</v>
      </c>
      <c r="I22">
        <v>3.8005832582712173E-2</v>
      </c>
      <c r="J22" s="6">
        <v>8.9999999999999998E-4</v>
      </c>
      <c r="K22" s="2">
        <v>1.9302900000000001E-2</v>
      </c>
    </row>
    <row r="23" spans="1:11" x14ac:dyDescent="0.25">
      <c r="A23" s="4">
        <v>43039</v>
      </c>
      <c r="B23" s="11">
        <v>1.6711331903934479E-2</v>
      </c>
      <c r="C23">
        <v>-0.16625311970710754</v>
      </c>
      <c r="D23">
        <v>1.3573008589446545E-2</v>
      </c>
      <c r="E23">
        <v>7.2302207350730896E-2</v>
      </c>
      <c r="F23">
        <v>-2.0812340080738068E-2</v>
      </c>
      <c r="G23">
        <v>0.11735344678163528</v>
      </c>
      <c r="H23">
        <v>8.0899730324745178E-2</v>
      </c>
      <c r="I23">
        <v>8.3154045045375824E-2</v>
      </c>
      <c r="J23" s="6">
        <v>8.9999999999999998E-4</v>
      </c>
      <c r="K23" s="2">
        <v>2.2188180000000002E-2</v>
      </c>
    </row>
    <row r="24" spans="1:11" x14ac:dyDescent="0.25">
      <c r="A24" s="4">
        <v>43069</v>
      </c>
      <c r="B24" s="11">
        <v>8.5183251649141312E-3</v>
      </c>
      <c r="C24">
        <v>-9.2757880687713623E-2</v>
      </c>
      <c r="D24">
        <v>9.0059168636798859E-2</v>
      </c>
      <c r="E24">
        <v>5.4515325464308262E-3</v>
      </c>
      <c r="F24">
        <v>6.3087537884712219E-2</v>
      </c>
      <c r="G24">
        <v>0.11361820995807648</v>
      </c>
      <c r="H24">
        <v>3.2858733087778091E-2</v>
      </c>
      <c r="I24">
        <v>-4.5054171234369278E-2</v>
      </c>
      <c r="J24" s="6">
        <v>8.0000000000000004E-4</v>
      </c>
      <c r="K24" s="2">
        <v>2.8082599999999999E-2</v>
      </c>
    </row>
    <row r="25" spans="1:11" x14ac:dyDescent="0.25">
      <c r="A25" s="4">
        <v>43098</v>
      </c>
      <c r="B25" s="11">
        <v>4.2021665722131729E-3</v>
      </c>
      <c r="C25">
        <v>-3.9365779608488083E-2</v>
      </c>
      <c r="D25">
        <v>5.3998392075300217E-2</v>
      </c>
      <c r="E25">
        <v>2.7991055976599455E-3</v>
      </c>
      <c r="F25">
        <v>4.0086477994918823E-2</v>
      </c>
      <c r="G25">
        <v>2.0878294482827187E-2</v>
      </c>
      <c r="H25">
        <v>4.7923337668180466E-2</v>
      </c>
      <c r="I25">
        <v>2.33500637114048E-2</v>
      </c>
      <c r="J25" s="6">
        <v>8.9999999999999998E-4</v>
      </c>
      <c r="K25" s="2">
        <v>9.8316189999999998E-3</v>
      </c>
    </row>
    <row r="26" spans="1:11" x14ac:dyDescent="0.25">
      <c r="A26" s="4">
        <v>43131</v>
      </c>
      <c r="B26" s="11">
        <v>4.375901073217392E-2</v>
      </c>
      <c r="C26">
        <v>-7.3352470993995667E-2</v>
      </c>
      <c r="D26">
        <v>5.9990476816892624E-2</v>
      </c>
      <c r="E26">
        <v>-1.0950463823974133E-2</v>
      </c>
      <c r="F26">
        <v>3.268466517329216E-2</v>
      </c>
      <c r="G26">
        <v>7.9493656754493713E-2</v>
      </c>
      <c r="H26">
        <v>8.401082456111908E-2</v>
      </c>
      <c r="I26">
        <v>0.40810573101043701</v>
      </c>
      <c r="J26" s="6">
        <v>1.1999999999999999E-3</v>
      </c>
      <c r="K26" s="2">
        <v>5.6178730000000003E-2</v>
      </c>
    </row>
    <row r="27" spans="1:11" x14ac:dyDescent="0.25">
      <c r="A27" s="4">
        <v>43159</v>
      </c>
      <c r="B27" s="11">
        <v>-0.12359684705734253</v>
      </c>
      <c r="C27">
        <v>-0.11997529119253159</v>
      </c>
      <c r="D27">
        <v>-9.2732653021812439E-2</v>
      </c>
      <c r="E27">
        <v>-5.4055992513895035E-2</v>
      </c>
      <c r="F27">
        <v>-0.11707042902708054</v>
      </c>
      <c r="G27">
        <v>-0.15562848746776581</v>
      </c>
      <c r="H27">
        <v>3.1249523162841797E-3</v>
      </c>
      <c r="I27">
        <v>7.7987484633922577E-2</v>
      </c>
      <c r="J27" s="6">
        <v>1.1000000000000001E-3</v>
      </c>
      <c r="K27" s="2">
        <v>-3.8947380000000004E-2</v>
      </c>
    </row>
    <row r="28" spans="1:11" x14ac:dyDescent="0.25">
      <c r="A28" s="4">
        <v>43188</v>
      </c>
      <c r="B28" s="11">
        <v>-1.491942536085844E-2</v>
      </c>
      <c r="C28">
        <v>-4.4649194926023483E-2</v>
      </c>
      <c r="D28">
        <v>-1.6459092497825623E-2</v>
      </c>
      <c r="E28">
        <v>-1.3320071622729301E-2</v>
      </c>
      <c r="F28">
        <v>1.6757020493969321E-3</v>
      </c>
      <c r="G28">
        <v>-5.7771462015807629E-3</v>
      </c>
      <c r="H28">
        <v>-6.1993733048439026E-2</v>
      </c>
      <c r="I28">
        <v>1.3624823652207851E-2</v>
      </c>
      <c r="J28" s="6">
        <v>1.1000000000000001E-3</v>
      </c>
      <c r="K28" s="2">
        <v>-2.688451E-2</v>
      </c>
    </row>
    <row r="29" spans="1:11" x14ac:dyDescent="0.25">
      <c r="A29" s="4">
        <v>43220</v>
      </c>
      <c r="B29" s="11">
        <v>4.2085502296686172E-2</v>
      </c>
      <c r="C29">
        <v>4.3768558651208878E-2</v>
      </c>
      <c r="D29">
        <v>3.6804292351007462E-2</v>
      </c>
      <c r="E29">
        <v>-1.2953539378941059E-2</v>
      </c>
      <c r="F29">
        <v>4.4332887977361679E-2</v>
      </c>
      <c r="G29">
        <v>-5.7322932407259941E-3</v>
      </c>
      <c r="H29">
        <v>-2.3341011255979538E-3</v>
      </c>
      <c r="I29">
        <v>5.7931218296289444E-2</v>
      </c>
      <c r="J29" s="6">
        <v>1.4000000000000002E-3</v>
      </c>
      <c r="K29" s="2">
        <v>2.7188010000000003E-3</v>
      </c>
    </row>
    <row r="30" spans="1:11" x14ac:dyDescent="0.25">
      <c r="A30" s="4">
        <v>43251</v>
      </c>
      <c r="B30" s="11">
        <v>5.5434055626392365E-2</v>
      </c>
      <c r="C30">
        <v>7.1074831066653132E-4</v>
      </c>
      <c r="D30">
        <v>1.504328940063715E-2</v>
      </c>
      <c r="E30">
        <v>-4.7197367995977402E-2</v>
      </c>
      <c r="F30">
        <v>-3.4042559564113617E-2</v>
      </c>
      <c r="G30">
        <v>-6.1044521629810333E-2</v>
      </c>
      <c r="H30">
        <v>-2.54010409116745E-2</v>
      </c>
      <c r="I30">
        <v>0.12526407837867737</v>
      </c>
      <c r="J30" s="6">
        <v>1.4000000000000002E-3</v>
      </c>
      <c r="K30" s="2">
        <v>2.1608350000000002E-2</v>
      </c>
    </row>
    <row r="31" spans="1:11" x14ac:dyDescent="0.25">
      <c r="A31" s="4">
        <v>43280</v>
      </c>
      <c r="B31" s="11">
        <v>1.8340786918997765E-2</v>
      </c>
      <c r="C31">
        <v>-2.4857973679900169E-2</v>
      </c>
      <c r="D31">
        <v>4.5832231640815735E-2</v>
      </c>
      <c r="E31">
        <v>1.4378812164068222E-2</v>
      </c>
      <c r="F31">
        <v>5.5380813777446747E-2</v>
      </c>
      <c r="G31">
        <v>3.7678707391023636E-2</v>
      </c>
      <c r="H31">
        <v>-2.9269983991980553E-2</v>
      </c>
      <c r="I31">
        <v>0.11328209936618805</v>
      </c>
      <c r="J31" s="6">
        <v>1.4000000000000002E-3</v>
      </c>
      <c r="K31" s="2">
        <v>4.8424000000000002E-3</v>
      </c>
    </row>
    <row r="32" spans="1:11" x14ac:dyDescent="0.25">
      <c r="A32" s="4">
        <v>43312</v>
      </c>
      <c r="B32" s="11">
        <v>-1.4746780507266521E-2</v>
      </c>
      <c r="C32">
        <v>1.4695413410663605E-3</v>
      </c>
      <c r="D32">
        <v>1.2403885833919048E-2</v>
      </c>
      <c r="E32">
        <v>9.2137865722179413E-2</v>
      </c>
      <c r="F32">
        <v>3.816334530711174E-2</v>
      </c>
      <c r="G32">
        <v>4.179803654551506E-2</v>
      </c>
      <c r="H32">
        <v>9.5423862338066101E-2</v>
      </c>
      <c r="I32">
        <v>-0.13790455460548401</v>
      </c>
      <c r="J32" s="6">
        <v>1.6000000000000001E-3</v>
      </c>
      <c r="K32" s="2">
        <v>3.6021589999999999E-2</v>
      </c>
    </row>
    <row r="33" spans="1:11" x14ac:dyDescent="0.25">
      <c r="A33" s="4">
        <v>43343</v>
      </c>
      <c r="B33" s="11">
        <v>-6.3796341419219971E-3</v>
      </c>
      <c r="C33">
        <v>-5.0623662769794464E-2</v>
      </c>
      <c r="D33">
        <v>2.1668691188097E-2</v>
      </c>
      <c r="E33">
        <v>2.3166298866271973E-2</v>
      </c>
      <c r="F33">
        <v>5.2865985780954361E-2</v>
      </c>
      <c r="G33">
        <v>8.0129966139793396E-2</v>
      </c>
      <c r="H33">
        <v>1.619208138436079E-3</v>
      </c>
      <c r="I33">
        <v>8.9583583176136017E-2</v>
      </c>
      <c r="J33" s="6">
        <v>1.6000000000000001E-3</v>
      </c>
      <c r="K33" s="2">
        <v>3.026322E-2</v>
      </c>
    </row>
    <row r="34" spans="1:11" x14ac:dyDescent="0.25">
      <c r="A34" s="4">
        <v>43371</v>
      </c>
      <c r="B34" s="11">
        <v>6.0496427118778229E-2</v>
      </c>
      <c r="C34">
        <v>-0.11823799461126328</v>
      </c>
      <c r="D34">
        <v>3.1777605414390564E-2</v>
      </c>
      <c r="E34">
        <v>2.5837074965238571E-2</v>
      </c>
      <c r="F34">
        <v>-1.8024638295173645E-2</v>
      </c>
      <c r="G34">
        <v>-2.0342133939266205E-2</v>
      </c>
      <c r="H34">
        <v>-4.2677052319049835E-2</v>
      </c>
      <c r="I34">
        <v>1.7542460933327675E-2</v>
      </c>
      <c r="J34" s="6">
        <v>1.5E-3</v>
      </c>
      <c r="K34" s="2">
        <v>4.2943010000000004E-3</v>
      </c>
    </row>
    <row r="35" spans="1:11" x14ac:dyDescent="0.25">
      <c r="A35" s="4">
        <v>43404</v>
      </c>
      <c r="B35" s="11">
        <v>-6.2808707356452942E-2</v>
      </c>
      <c r="C35">
        <v>-0.10540297627449036</v>
      </c>
      <c r="D35">
        <v>-0.15095336735248566</v>
      </c>
      <c r="E35">
        <v>1.3172232545912266E-2</v>
      </c>
      <c r="F35">
        <v>8.0586269497871399E-2</v>
      </c>
      <c r="G35">
        <v>6.7830845713615417E-2</v>
      </c>
      <c r="H35">
        <v>-6.6530860960483551E-2</v>
      </c>
      <c r="I35">
        <v>-0.19338199496269226</v>
      </c>
      <c r="J35" s="6">
        <v>1.9E-3</v>
      </c>
      <c r="K35" s="2">
        <v>-6.9403359999999997E-2</v>
      </c>
    </row>
    <row r="36" spans="1:11" x14ac:dyDescent="0.25">
      <c r="A36" s="4">
        <v>43434</v>
      </c>
      <c r="B36" s="11">
        <v>8.0321244895458221E-3</v>
      </c>
      <c r="C36">
        <v>-0.25742578506469727</v>
      </c>
      <c r="D36">
        <v>3.1100763007998466E-2</v>
      </c>
      <c r="E36">
        <v>5.5789612233638763E-2</v>
      </c>
      <c r="F36">
        <v>5.6226994842290878E-2</v>
      </c>
      <c r="G36">
        <v>-2.622653916478157E-2</v>
      </c>
      <c r="H36">
        <v>3.2727260142564774E-2</v>
      </c>
      <c r="I36">
        <v>-5.1858950406312943E-2</v>
      </c>
      <c r="J36" s="6">
        <v>1.8E-3</v>
      </c>
      <c r="K36" s="2">
        <v>1.7859380000000001E-2</v>
      </c>
    </row>
    <row r="37" spans="1:11" x14ac:dyDescent="0.25">
      <c r="A37" s="4">
        <v>43465</v>
      </c>
      <c r="B37" s="11">
        <v>-0.14226411283016205</v>
      </c>
      <c r="C37">
        <v>1.0666689835488796E-2</v>
      </c>
      <c r="D37">
        <v>-4.713841900229454E-2</v>
      </c>
      <c r="E37">
        <v>-0.12151117622852325</v>
      </c>
      <c r="F37">
        <v>-6.7661657929420471E-2</v>
      </c>
      <c r="G37">
        <v>-4.0757808834314346E-2</v>
      </c>
      <c r="H37">
        <v>-0.12711268663406372</v>
      </c>
      <c r="I37">
        <v>-6.4551077783107758E-2</v>
      </c>
      <c r="J37" s="6">
        <v>2E-3</v>
      </c>
      <c r="K37" s="2">
        <v>-9.1776949999999996E-2</v>
      </c>
    </row>
    <row r="38" spans="1:11" x14ac:dyDescent="0.25">
      <c r="A38" s="4">
        <v>43496</v>
      </c>
      <c r="B38" s="11">
        <v>7.4644319713115692E-2</v>
      </c>
      <c r="C38">
        <v>0.34213998913764954</v>
      </c>
      <c r="D38">
        <v>6.8152666091918945E-2</v>
      </c>
      <c r="E38">
        <v>3.1228195875883102E-2</v>
      </c>
      <c r="F38">
        <v>-9.9163968116044998E-3</v>
      </c>
      <c r="G38">
        <v>2.8770802542567253E-2</v>
      </c>
      <c r="H38">
        <v>0.15543831884860992</v>
      </c>
      <c r="I38">
        <v>0.26840019226074219</v>
      </c>
      <c r="J38" s="6">
        <v>2.0999999999999999E-3</v>
      </c>
      <c r="K38" s="2">
        <v>7.8684400000000002E-2</v>
      </c>
    </row>
    <row r="39" spans="1:11" x14ac:dyDescent="0.25">
      <c r="A39" s="4">
        <v>43524</v>
      </c>
      <c r="B39" s="11">
        <v>8.965611457824707E-2</v>
      </c>
      <c r="C39">
        <v>6.1736185103654861E-2</v>
      </c>
      <c r="D39">
        <v>8.7724113836884499E-3</v>
      </c>
      <c r="E39">
        <v>3.3513657748699188E-2</v>
      </c>
      <c r="F39">
        <v>3.3781271427869797E-2</v>
      </c>
      <c r="G39">
        <v>3.297501802444458E-2</v>
      </c>
      <c r="H39">
        <v>2.6694789528846741E-2</v>
      </c>
      <c r="I39">
        <v>5.4786469787359238E-2</v>
      </c>
      <c r="J39" s="6">
        <v>1.8E-3</v>
      </c>
      <c r="K39" s="2">
        <v>2.9728930000000001E-2</v>
      </c>
    </row>
    <row r="40" spans="1:11" x14ac:dyDescent="0.25">
      <c r="A40" s="4">
        <v>43553</v>
      </c>
      <c r="B40" s="11">
        <v>2.2396612912416458E-2</v>
      </c>
      <c r="C40">
        <v>-3.7536147981882095E-2</v>
      </c>
      <c r="D40">
        <v>4.380469024181366E-2</v>
      </c>
      <c r="E40">
        <v>2.3053234443068504E-2</v>
      </c>
      <c r="F40">
        <v>3.8826476782560349E-2</v>
      </c>
      <c r="G40">
        <v>-9.3948794528841972E-3</v>
      </c>
      <c r="H40">
        <v>-5.1237955689430237E-2</v>
      </c>
      <c r="I40">
        <v>-4.300498403608799E-3</v>
      </c>
      <c r="J40" s="6">
        <v>1.9E-3</v>
      </c>
      <c r="K40" s="2">
        <v>1.7924289999999999E-2</v>
      </c>
    </row>
    <row r="41" spans="1:11" x14ac:dyDescent="0.25">
      <c r="A41" s="4">
        <v>43585</v>
      </c>
      <c r="B41" s="11">
        <v>-6.4356960356235504E-3</v>
      </c>
      <c r="C41">
        <v>1.8018048256635666E-2</v>
      </c>
      <c r="D41">
        <v>6.1545666307210922E-2</v>
      </c>
      <c r="E41">
        <v>1.0086584836244583E-2</v>
      </c>
      <c r="F41">
        <v>-2.2619692608714104E-2</v>
      </c>
      <c r="G41">
        <v>5.4444760084152222E-2</v>
      </c>
      <c r="H41">
        <v>0.10837259143590927</v>
      </c>
      <c r="I41">
        <v>3.9208017289638519E-2</v>
      </c>
      <c r="J41" s="6">
        <v>2.0999999999999999E-3</v>
      </c>
      <c r="K41" s="2">
        <v>3.9313439999999998E-2</v>
      </c>
    </row>
    <row r="42" spans="1:11" x14ac:dyDescent="0.25">
      <c r="A42" s="4">
        <v>43616</v>
      </c>
      <c r="B42" s="11">
        <v>-0.10762334614992142</v>
      </c>
      <c r="C42">
        <v>-7.1779794991016388E-2</v>
      </c>
      <c r="D42">
        <v>-6.799209862947464E-2</v>
      </c>
      <c r="E42">
        <v>-6.4447611570358276E-2</v>
      </c>
      <c r="F42">
        <v>-4.9659036099910736E-2</v>
      </c>
      <c r="G42">
        <v>-8.4596844390034676E-3</v>
      </c>
      <c r="H42">
        <v>-0.13015040755271912</v>
      </c>
      <c r="I42">
        <v>-7.3568329215049744E-2</v>
      </c>
      <c r="J42" s="6">
        <v>2.0999999999999999E-3</v>
      </c>
      <c r="K42" s="2">
        <v>-6.5777730000000006E-2</v>
      </c>
    </row>
    <row r="43" spans="1:11" x14ac:dyDescent="0.25">
      <c r="A43" s="4">
        <v>43644</v>
      </c>
      <c r="B43" s="11">
        <v>8.2803457975387573E-2</v>
      </c>
      <c r="C43">
        <v>0.11334750801324844</v>
      </c>
      <c r="D43">
        <v>0.10260729491710663</v>
      </c>
      <c r="E43">
        <v>6.1990126967430115E-2</v>
      </c>
      <c r="F43">
        <v>5.1150001585483551E-2</v>
      </c>
      <c r="G43">
        <v>8.9215248823165894E-2</v>
      </c>
      <c r="H43">
        <v>9.5864646136760712E-2</v>
      </c>
      <c r="I43">
        <v>7.0030324161052704E-2</v>
      </c>
      <c r="J43" s="6">
        <v>1.8E-3</v>
      </c>
      <c r="K43" s="2">
        <v>6.8930190000000002E-2</v>
      </c>
    </row>
    <row r="44" spans="1:11" x14ac:dyDescent="0.25">
      <c r="A44" s="4">
        <v>43677</v>
      </c>
      <c r="B44" s="11">
        <v>-2.9622821137309074E-2</v>
      </c>
      <c r="C44">
        <v>-4.7619231045246124E-3</v>
      </c>
      <c r="D44">
        <v>2.7503972873091698E-2</v>
      </c>
      <c r="E44">
        <v>-6.5048806369304657E-2</v>
      </c>
      <c r="F44">
        <v>-2.2011213004589081E-2</v>
      </c>
      <c r="G44">
        <v>-9.9557079374790192E-4</v>
      </c>
      <c r="H44">
        <v>5.7931043207645416E-2</v>
      </c>
      <c r="I44">
        <v>-0.12068500369787216</v>
      </c>
      <c r="J44" s="6">
        <v>1.9E-3</v>
      </c>
      <c r="K44" s="2">
        <v>1.312819E-2</v>
      </c>
    </row>
    <row r="45" spans="1:11" x14ac:dyDescent="0.25">
      <c r="A45" s="4">
        <v>43707</v>
      </c>
      <c r="B45" s="11">
        <v>-6.737489253282547E-2</v>
      </c>
      <c r="C45">
        <v>-0.21052630245685577</v>
      </c>
      <c r="D45">
        <v>6.6545002162456512E-2</v>
      </c>
      <c r="E45">
        <v>-6.9881784729659557E-3</v>
      </c>
      <c r="F45">
        <v>5.2288752049207687E-2</v>
      </c>
      <c r="G45">
        <v>3.9952933788299561E-2</v>
      </c>
      <c r="H45">
        <v>-0.10332464426755905</v>
      </c>
      <c r="I45">
        <v>-9.0529091656208038E-2</v>
      </c>
      <c r="J45" s="6">
        <v>1.6000000000000001E-3</v>
      </c>
      <c r="K45" s="2">
        <v>-1.8091650000000001E-2</v>
      </c>
    </row>
    <row r="46" spans="1:11" x14ac:dyDescent="0.25">
      <c r="A46" s="4">
        <v>43738</v>
      </c>
      <c r="B46" s="11">
        <v>3.1103929504752159E-2</v>
      </c>
      <c r="C46">
        <v>8.484843373298645E-2</v>
      </c>
      <c r="D46">
        <v>2.4000704288482666E-2</v>
      </c>
      <c r="E46">
        <v>7.9464344307780266E-3</v>
      </c>
      <c r="F46">
        <v>3.7826698273420334E-2</v>
      </c>
      <c r="G46">
        <v>3.8683686405420303E-2</v>
      </c>
      <c r="H46">
        <v>6.6884763538837433E-2</v>
      </c>
      <c r="I46">
        <v>-8.8953204452991486E-2</v>
      </c>
      <c r="J46" s="6">
        <v>1.8E-3</v>
      </c>
      <c r="K46" s="2">
        <v>1.7181169999999999E-2</v>
      </c>
    </row>
    <row r="47" spans="1:11" x14ac:dyDescent="0.25">
      <c r="A47" s="4">
        <v>43769</v>
      </c>
      <c r="B47" s="11">
        <v>-4.3053403496742249E-2</v>
      </c>
      <c r="C47">
        <v>0.11633110046386719</v>
      </c>
      <c r="D47">
        <v>1.103352103382349E-2</v>
      </c>
      <c r="E47">
        <v>2.0559500902891159E-2</v>
      </c>
      <c r="F47">
        <v>1.2011275626718998E-2</v>
      </c>
      <c r="G47">
        <v>-1.1964932084083557E-2</v>
      </c>
      <c r="H47">
        <v>7.1991786360740662E-2</v>
      </c>
      <c r="I47">
        <v>7.3948167264461517E-2</v>
      </c>
      <c r="J47" s="6">
        <v>1.6000000000000001E-3</v>
      </c>
      <c r="K47" s="2">
        <v>2.0431750000000002E-2</v>
      </c>
    </row>
    <row r="48" spans="1:11" x14ac:dyDescent="0.25">
      <c r="A48" s="4">
        <v>43798</v>
      </c>
      <c r="B48" s="11">
        <v>2.1163202822208405E-2</v>
      </c>
      <c r="C48">
        <v>0.12925861775875092</v>
      </c>
      <c r="D48">
        <v>-5.9979569166898727E-2</v>
      </c>
      <c r="E48">
        <v>4.8470254987478256E-2</v>
      </c>
      <c r="F48">
        <v>-3.8035314064472914E-3</v>
      </c>
      <c r="G48">
        <v>1.5606295317411423E-2</v>
      </c>
      <c r="H48">
        <v>6.5558016300201416E-2</v>
      </c>
      <c r="I48">
        <v>9.4812288880348206E-2</v>
      </c>
      <c r="J48" s="6">
        <v>1.1999999999999999E-3</v>
      </c>
      <c r="K48" s="2">
        <v>3.4047060000000004E-2</v>
      </c>
    </row>
    <row r="49" spans="1:11" x14ac:dyDescent="0.25">
      <c r="A49" s="4">
        <v>43830</v>
      </c>
      <c r="B49" s="11">
        <v>2.4218428879976273E-2</v>
      </c>
      <c r="C49">
        <v>-8.8731683790683746E-3</v>
      </c>
      <c r="D49">
        <v>-3.4918580204248428E-3</v>
      </c>
      <c r="E49">
        <v>6.0949809849262238E-2</v>
      </c>
      <c r="F49">
        <v>1.9256304949522018E-2</v>
      </c>
      <c r="G49">
        <v>2.3511627223342657E-3</v>
      </c>
      <c r="H49">
        <v>6.2425017356872559E-2</v>
      </c>
      <c r="I49">
        <v>2.8316289186477661E-2</v>
      </c>
      <c r="J49" s="6">
        <v>1.4000000000000002E-3</v>
      </c>
      <c r="K49" s="2">
        <v>2.8589800000000002E-2</v>
      </c>
    </row>
    <row r="50" spans="1:11" x14ac:dyDescent="0.25">
      <c r="A50" s="4">
        <v>43861</v>
      </c>
      <c r="B50" s="11">
        <v>-0.10977357625961304</v>
      </c>
      <c r="C50">
        <v>0.11559139937162399</v>
      </c>
      <c r="D50">
        <v>4.4509574770927429E-2</v>
      </c>
      <c r="E50">
        <v>2.0566258579492569E-2</v>
      </c>
      <c r="F50">
        <v>-2.1905584260821342E-2</v>
      </c>
      <c r="G50">
        <v>-3.6603827029466629E-2</v>
      </c>
      <c r="H50">
        <v>-6.7859150469303131E-2</v>
      </c>
      <c r="I50">
        <v>6.6507987678050995E-2</v>
      </c>
      <c r="J50" s="6">
        <v>1.2999999999999999E-3</v>
      </c>
      <c r="K50" s="2">
        <v>-1.62809E-3</v>
      </c>
    </row>
    <row r="51" spans="1:11" x14ac:dyDescent="0.25">
      <c r="A51" s="4">
        <v>43889</v>
      </c>
      <c r="B51" s="11">
        <v>-0.15792016685009003</v>
      </c>
      <c r="C51">
        <v>-0.12610439956188202</v>
      </c>
      <c r="D51">
        <v>-4.4980313628911972E-2</v>
      </c>
      <c r="E51">
        <v>-9.0280108153820038E-2</v>
      </c>
      <c r="F51">
        <v>-8.8829055428504944E-2</v>
      </c>
      <c r="G51">
        <v>-5.9481158852577209E-2</v>
      </c>
      <c r="H51">
        <v>-0.13189160823822021</v>
      </c>
      <c r="I51">
        <v>6.937321275472641E-2</v>
      </c>
      <c r="J51" s="6">
        <v>1.1999999999999999E-3</v>
      </c>
      <c r="K51" s="2">
        <v>-8.4110470000000007E-2</v>
      </c>
    </row>
    <row r="52" spans="1:11" x14ac:dyDescent="0.25">
      <c r="A52" s="4">
        <v>43921</v>
      </c>
      <c r="B52" s="11">
        <v>-0.26185843348503113</v>
      </c>
      <c r="C52">
        <v>-0.26930147409439087</v>
      </c>
      <c r="D52">
        <v>-0.13601721823215485</v>
      </c>
      <c r="E52">
        <v>-2.491069957613945E-2</v>
      </c>
      <c r="F52">
        <v>-7.9394439235329628E-3</v>
      </c>
      <c r="G52">
        <v>6.0178328305482864E-2</v>
      </c>
      <c r="H52">
        <v>-0.24877195060253143</v>
      </c>
      <c r="I52">
        <v>1.7532452940940857E-2</v>
      </c>
      <c r="J52" s="6">
        <v>1.2999999999999999E-3</v>
      </c>
      <c r="K52" s="2">
        <v>-0.12511929999999999</v>
      </c>
    </row>
    <row r="53" spans="1:11" x14ac:dyDescent="0.25">
      <c r="A53" s="4">
        <v>43951</v>
      </c>
      <c r="B53" s="11">
        <v>0.22386093437671661</v>
      </c>
      <c r="C53">
        <v>-0.14357681572437286</v>
      </c>
      <c r="D53">
        <v>0.17738735675811768</v>
      </c>
      <c r="E53">
        <v>0.14420793950557709</v>
      </c>
      <c r="F53">
        <v>8.0681204795837402E-2</v>
      </c>
      <c r="G53">
        <v>6.9794051349163055E-2</v>
      </c>
      <c r="H53">
        <v>0.13283088803291321</v>
      </c>
      <c r="I53">
        <v>0.11810920387506485</v>
      </c>
      <c r="J53" s="6">
        <v>0</v>
      </c>
      <c r="K53" s="2">
        <v>0.12684409999999999</v>
      </c>
    </row>
    <row r="54" spans="1:11" x14ac:dyDescent="0.25">
      <c r="A54" s="4">
        <v>43980</v>
      </c>
      <c r="B54" s="11">
        <v>-2.7975034900009632E-3</v>
      </c>
      <c r="C54">
        <v>-3.3823531121015549E-2</v>
      </c>
      <c r="D54">
        <v>0.13032795488834381</v>
      </c>
      <c r="E54">
        <v>-1.8661244539543986E-3</v>
      </c>
      <c r="F54">
        <v>-1.2184454826638103E-3</v>
      </c>
      <c r="G54">
        <v>2.5092508643865585E-2</v>
      </c>
      <c r="H54">
        <v>2.9106696601957083E-3</v>
      </c>
      <c r="I54">
        <v>-2.8580473735928535E-4</v>
      </c>
      <c r="J54" s="6">
        <v>1E-4</v>
      </c>
      <c r="K54" s="2">
        <v>4.5281780000000001E-2</v>
      </c>
    </row>
    <row r="55" spans="1:11" x14ac:dyDescent="0.25">
      <c r="A55" s="4">
        <v>44012</v>
      </c>
      <c r="B55" s="11">
        <v>-1.6494391486048698E-2</v>
      </c>
      <c r="C55">
        <v>4.1095852851867676E-2</v>
      </c>
      <c r="D55">
        <v>1.4206370338797569E-2</v>
      </c>
      <c r="E55">
        <v>-5.4588202387094498E-2</v>
      </c>
      <c r="F55">
        <v>-3.9212267845869064E-2</v>
      </c>
      <c r="G55">
        <v>-3.4499425441026688E-2</v>
      </c>
      <c r="H55">
        <v>-7.8773144632577896E-3</v>
      </c>
      <c r="I55">
        <v>8.4125503897666931E-2</v>
      </c>
      <c r="J55" s="6">
        <v>1E-4</v>
      </c>
      <c r="K55" s="2">
        <v>1.8388399999999999E-2</v>
      </c>
    </row>
    <row r="56" spans="1:11" x14ac:dyDescent="0.25">
      <c r="A56" s="4">
        <v>44043</v>
      </c>
      <c r="B56" s="11">
        <v>-5.9033975005149841E-2</v>
      </c>
      <c r="C56">
        <v>-0.11127375811338425</v>
      </c>
      <c r="D56">
        <v>5.9797994792461395E-2</v>
      </c>
      <c r="E56">
        <v>3.6478627473115921E-2</v>
      </c>
      <c r="F56">
        <v>5.3781941533088684E-2</v>
      </c>
      <c r="G56">
        <v>8.0313868820667267E-2</v>
      </c>
      <c r="H56">
        <v>4.7578912228345871E-2</v>
      </c>
      <c r="I56">
        <v>7.436707615852356E-2</v>
      </c>
      <c r="J56" s="6">
        <v>1E-4</v>
      </c>
      <c r="K56" s="2">
        <v>5.5101299999999999E-2</v>
      </c>
    </row>
    <row r="57" spans="1:11" x14ac:dyDescent="0.25">
      <c r="A57" s="4">
        <v>44074</v>
      </c>
      <c r="B57" s="11">
        <v>-3.0180683359503746E-2</v>
      </c>
      <c r="C57">
        <v>4.4481050223112106E-2</v>
      </c>
      <c r="D57">
        <v>7.3637500405311584E-2</v>
      </c>
      <c r="E57">
        <v>5.9412799775600433E-2</v>
      </c>
      <c r="F57">
        <v>3.1141282990574837E-2</v>
      </c>
      <c r="G57">
        <v>7.7202573418617249E-2</v>
      </c>
      <c r="H57">
        <v>3.4565940499305725E-2</v>
      </c>
      <c r="I57">
        <v>8.3210587501525879E-2</v>
      </c>
      <c r="J57" s="6">
        <v>1E-4</v>
      </c>
      <c r="K57" s="2">
        <v>7.0064689999999999E-2</v>
      </c>
    </row>
    <row r="58" spans="1:11" x14ac:dyDescent="0.25">
      <c r="A58" s="4">
        <v>44104</v>
      </c>
      <c r="B58" s="11">
        <v>-0.14046061038970947</v>
      </c>
      <c r="C58">
        <v>-1.5772892162203789E-2</v>
      </c>
      <c r="D58">
        <v>-2.0453328266739845E-2</v>
      </c>
      <c r="E58">
        <v>-2.9528705403208733E-2</v>
      </c>
      <c r="F58">
        <v>3.7118478212505579E-3</v>
      </c>
      <c r="G58">
        <v>7.6341195963323116E-3</v>
      </c>
      <c r="H58">
        <v>-5.7109542191028595E-2</v>
      </c>
      <c r="I58">
        <v>-5.5763274431228638E-2</v>
      </c>
      <c r="J58" s="6">
        <v>1E-4</v>
      </c>
      <c r="K58" s="2">
        <v>-3.9227959999999999E-2</v>
      </c>
    </row>
    <row r="59" spans="1:11" x14ac:dyDescent="0.25">
      <c r="A59" s="4">
        <v>44134</v>
      </c>
      <c r="B59" s="11">
        <v>-4.9810744822025299E-2</v>
      </c>
      <c r="C59">
        <v>0.19101125001907349</v>
      </c>
      <c r="D59">
        <v>-3.9609666913747787E-2</v>
      </c>
      <c r="E59">
        <v>-7.9056985676288605E-2</v>
      </c>
      <c r="F59">
        <v>-3.147587925195694E-2</v>
      </c>
      <c r="G59">
        <v>-8.2910703495144844E-3</v>
      </c>
      <c r="H59">
        <v>-1.6189264133572578E-2</v>
      </c>
      <c r="I59">
        <v>-4.8577103763818741E-2</v>
      </c>
      <c r="J59" s="6">
        <v>1E-4</v>
      </c>
      <c r="K59" s="2">
        <v>-2.7665780000000001E-2</v>
      </c>
    </row>
    <row r="60" spans="1:11" x14ac:dyDescent="0.25">
      <c r="A60" s="4">
        <v>44165</v>
      </c>
      <c r="B60" s="11">
        <v>0.19558560848236084</v>
      </c>
      <c r="C60">
        <v>0.37196767330169678</v>
      </c>
      <c r="D60">
        <v>4.0118526667356491E-2</v>
      </c>
      <c r="E60">
        <v>6.2577433884143829E-2</v>
      </c>
      <c r="F60">
        <v>6.001049280166626E-2</v>
      </c>
      <c r="G60">
        <v>0.10118914395570755</v>
      </c>
      <c r="H60">
        <v>0.18818560242652893</v>
      </c>
      <c r="I60">
        <v>3.1445793807506561E-2</v>
      </c>
      <c r="J60" s="6">
        <v>1E-4</v>
      </c>
      <c r="K60" s="2">
        <v>0.10754569999999999</v>
      </c>
    </row>
    <row r="61" spans="1:11" x14ac:dyDescent="0.25">
      <c r="A61" s="4">
        <v>44196</v>
      </c>
      <c r="B61" s="11">
        <v>8.103855699300766E-2</v>
      </c>
      <c r="C61">
        <v>6.188603863120079E-2</v>
      </c>
      <c r="D61">
        <v>-3.7093140184879303E-2</v>
      </c>
      <c r="E61">
        <v>8.7780013680458069E-2</v>
      </c>
      <c r="F61">
        <v>-2.7478892356157303E-2</v>
      </c>
      <c r="G61">
        <v>-5.3013939410448074E-2</v>
      </c>
      <c r="H61">
        <v>8.274146169424057E-2</v>
      </c>
      <c r="I61">
        <v>0.1019563227891922</v>
      </c>
      <c r="J61" s="6">
        <v>1E-4</v>
      </c>
      <c r="K61" s="2">
        <v>3.7121410000000001E-2</v>
      </c>
    </row>
    <row r="62" spans="1:11" x14ac:dyDescent="0.25">
      <c r="A62" s="4">
        <v>44225</v>
      </c>
      <c r="B62" s="11">
        <v>8.7821416556835175E-2</v>
      </c>
      <c r="C62">
        <v>-1.111110020428896E-2</v>
      </c>
      <c r="D62">
        <v>1.9576884806156158E-2</v>
      </c>
      <c r="E62">
        <v>3.6535773426294327E-2</v>
      </c>
      <c r="F62">
        <v>-5.7404253631830215E-2</v>
      </c>
      <c r="G62">
        <v>-2.5390138849616051E-2</v>
      </c>
      <c r="H62">
        <v>-2.1774986758828163E-2</v>
      </c>
      <c r="I62">
        <v>-1.5423531644046307E-2</v>
      </c>
      <c r="J62" s="6">
        <v>1E-4</v>
      </c>
      <c r="K62" s="2">
        <v>-1.113664E-2</v>
      </c>
    </row>
    <row r="63" spans="1:11" x14ac:dyDescent="0.25">
      <c r="A63" s="4">
        <v>44253</v>
      </c>
      <c r="B63" s="11">
        <v>0.23193573951721191</v>
      </c>
      <c r="C63">
        <v>0.17415726184844971</v>
      </c>
      <c r="D63">
        <v>-4.6082306653261185E-2</v>
      </c>
      <c r="E63">
        <v>-2.2436082363128662E-2</v>
      </c>
      <c r="F63">
        <v>1.004564855247736E-2</v>
      </c>
      <c r="G63">
        <v>-7.5236722826957703E-2</v>
      </c>
      <c r="H63">
        <v>0.17065764963626862</v>
      </c>
      <c r="I63">
        <v>1.2133887968957424E-2</v>
      </c>
      <c r="J63" s="6">
        <v>0</v>
      </c>
      <c r="K63" s="2">
        <v>2.609148E-2</v>
      </c>
    </row>
    <row r="64" spans="1:11" x14ac:dyDescent="0.25">
      <c r="A64" s="4">
        <v>44286</v>
      </c>
      <c r="B64" s="11">
        <v>2.6853097602725029E-2</v>
      </c>
      <c r="C64">
        <v>4.7846902161836624E-2</v>
      </c>
      <c r="D64">
        <v>0.18796935677528381</v>
      </c>
      <c r="E64">
        <v>3.7170257419347763E-2</v>
      </c>
      <c r="F64">
        <v>5.1537111401557922E-2</v>
      </c>
      <c r="G64">
        <v>4.9722936004400253E-2</v>
      </c>
      <c r="H64">
        <v>0.11985018104314804</v>
      </c>
      <c r="I64">
        <v>-3.1901277601718903E-2</v>
      </c>
      <c r="J64" s="6">
        <v>0</v>
      </c>
      <c r="K64" s="2">
        <v>4.2438629999999998E-2</v>
      </c>
    </row>
    <row r="65" spans="1:11" x14ac:dyDescent="0.25">
      <c r="A65" s="4">
        <v>44316</v>
      </c>
      <c r="B65" s="11">
        <v>2.5255234912037849E-2</v>
      </c>
      <c r="C65">
        <v>-7.6163205085322261E-4</v>
      </c>
      <c r="D65">
        <v>6.0344025492668152E-2</v>
      </c>
      <c r="E65">
        <v>-9.8570752888917923E-3</v>
      </c>
      <c r="F65">
        <v>4.6001612208783627E-3</v>
      </c>
      <c r="G65">
        <v>3.0037559568881989E-2</v>
      </c>
      <c r="H65">
        <v>4.7557514160871506E-2</v>
      </c>
      <c r="I65">
        <v>-1.5699885785579681E-2</v>
      </c>
      <c r="J65" s="6">
        <v>0</v>
      </c>
      <c r="K65" s="2">
        <v>5.2425310000000003E-2</v>
      </c>
    </row>
    <row r="66" spans="1:11" x14ac:dyDescent="0.25">
      <c r="A66" s="4">
        <v>44344</v>
      </c>
      <c r="B66" s="11">
        <v>3.4940551966428757E-2</v>
      </c>
      <c r="C66">
        <v>7.164638489484787E-2</v>
      </c>
      <c r="D66">
        <v>-1.4706366695463657E-2</v>
      </c>
      <c r="E66">
        <v>4.6580251306295395E-2</v>
      </c>
      <c r="F66">
        <v>-2.2495226934552193E-2</v>
      </c>
      <c r="G66">
        <v>1.9083661958575249E-2</v>
      </c>
      <c r="H66">
        <v>4.5891948044300079E-2</v>
      </c>
      <c r="I66">
        <v>-2.0760655403137207E-2</v>
      </c>
      <c r="J66" s="6">
        <v>0</v>
      </c>
      <c r="K66" s="2">
        <v>5.4865030000000002E-3</v>
      </c>
    </row>
    <row r="67" spans="1:11" x14ac:dyDescent="0.25">
      <c r="A67" s="4">
        <v>44377</v>
      </c>
      <c r="B67" s="11">
        <v>8.0692186951637268E-2</v>
      </c>
      <c r="C67">
        <v>-4.1963040828704834E-2</v>
      </c>
      <c r="D67">
        <v>5.1111942157149315E-3</v>
      </c>
      <c r="E67">
        <v>-2.6646940037608147E-2</v>
      </c>
      <c r="F67">
        <v>-8.1430850550532341E-3</v>
      </c>
      <c r="G67">
        <v>-7.1111349388957024E-3</v>
      </c>
      <c r="H67">
        <v>-2.3118656128644943E-2</v>
      </c>
      <c r="I67">
        <v>5.0516147166490555E-2</v>
      </c>
      <c r="J67" s="6">
        <v>0</v>
      </c>
      <c r="K67" s="2">
        <v>2.2213980000000001E-2</v>
      </c>
    </row>
    <row r="68" spans="1:11" x14ac:dyDescent="0.25">
      <c r="A68" s="4">
        <v>44407</v>
      </c>
      <c r="B68" s="11">
        <v>-8.7349429726600647E-2</v>
      </c>
      <c r="C68">
        <v>-3.7890061736106873E-2</v>
      </c>
      <c r="D68">
        <v>2.9163621366024017E-2</v>
      </c>
      <c r="E68">
        <v>4.5283421874046326E-2</v>
      </c>
      <c r="F68">
        <v>6.7374622449278831E-3</v>
      </c>
      <c r="G68">
        <v>1.0849515907466412E-2</v>
      </c>
      <c r="H68">
        <v>-6.9609485566616058E-2</v>
      </c>
      <c r="I68">
        <v>-2.0143531262874603E-2</v>
      </c>
      <c r="J68" s="6">
        <v>0</v>
      </c>
      <c r="K68" s="2">
        <v>2.2748110000000002E-2</v>
      </c>
    </row>
    <row r="69" spans="1:11" x14ac:dyDescent="0.25">
      <c r="A69" s="4">
        <v>44439</v>
      </c>
      <c r="B69" s="11">
        <v>-3.7866931408643723E-2</v>
      </c>
      <c r="C69">
        <v>1.7471093684434891E-2</v>
      </c>
      <c r="D69">
        <v>-6.1245309188961983E-3</v>
      </c>
      <c r="E69">
        <v>1.1556375771760941E-2</v>
      </c>
      <c r="F69">
        <v>-1.3983485288918018E-2</v>
      </c>
      <c r="G69">
        <v>4.2792022228240967E-2</v>
      </c>
      <c r="H69">
        <v>8.8373288512229919E-2</v>
      </c>
      <c r="I69">
        <v>9.9735289812088013E-2</v>
      </c>
      <c r="J69" s="6">
        <v>0</v>
      </c>
      <c r="K69" s="2">
        <v>2.899032E-2</v>
      </c>
    </row>
    <row r="70" spans="1:11" x14ac:dyDescent="0.25">
      <c r="A70" s="4">
        <v>44469</v>
      </c>
      <c r="B70" s="11">
        <v>7.8870125114917755E-2</v>
      </c>
      <c r="C70">
        <v>-2.1819606423377991E-2</v>
      </c>
      <c r="D70">
        <v>1.1435456573963165E-2</v>
      </c>
      <c r="E70">
        <v>-6.717497855424881E-2</v>
      </c>
      <c r="F70">
        <v>-1.8000030890107155E-2</v>
      </c>
      <c r="G70">
        <v>-5.8879140764474869E-2</v>
      </c>
      <c r="H70">
        <v>2.1796425804495811E-2</v>
      </c>
      <c r="I70">
        <v>7.2295762598514557E-2</v>
      </c>
      <c r="J70" s="6">
        <v>0</v>
      </c>
      <c r="K70" s="2">
        <v>-4.7569140000000003E-2</v>
      </c>
    </row>
    <row r="71" spans="1:11" x14ac:dyDescent="0.25">
      <c r="A71" s="4">
        <v>44498</v>
      </c>
      <c r="B71" s="11">
        <v>9.6055790781974792E-2</v>
      </c>
      <c r="C71">
        <v>1.7858915030956268E-2</v>
      </c>
      <c r="D71">
        <v>0.13245591521263123</v>
      </c>
      <c r="E71">
        <v>8.544921875E-3</v>
      </c>
      <c r="F71">
        <v>-7.035672664642334E-3</v>
      </c>
      <c r="G71">
        <v>7.2033241391181946E-2</v>
      </c>
      <c r="H71">
        <v>0.12555943429470062</v>
      </c>
      <c r="I71">
        <v>0.13102526962757111</v>
      </c>
      <c r="J71" s="6">
        <v>0</v>
      </c>
      <c r="K71" s="2">
        <v>6.9143880000000005E-2</v>
      </c>
    </row>
    <row r="72" spans="1:11" x14ac:dyDescent="0.25">
      <c r="A72" s="4">
        <v>44530</v>
      </c>
      <c r="B72" s="11">
        <v>-5.8166604489088058E-2</v>
      </c>
      <c r="C72">
        <v>-9.421192854642868E-2</v>
      </c>
      <c r="D72">
        <v>7.7661797404289246E-2</v>
      </c>
      <c r="E72">
        <v>-3.6161664873361588E-2</v>
      </c>
      <c r="F72">
        <v>-5.1330462098121643E-2</v>
      </c>
      <c r="G72">
        <v>-5.8827422559261322E-2</v>
      </c>
      <c r="H72">
        <v>-6.9275796413421631E-2</v>
      </c>
      <c r="I72">
        <v>-7.0127874612808228E-2</v>
      </c>
      <c r="J72" s="6">
        <v>0</v>
      </c>
      <c r="K72" s="2">
        <v>-8.3337310000000005E-3</v>
      </c>
    </row>
    <row r="73" spans="1:11" x14ac:dyDescent="0.25">
      <c r="A73" s="4">
        <v>44561</v>
      </c>
      <c r="B73" s="11">
        <v>2.2560134530067444E-2</v>
      </c>
      <c r="C73">
        <v>-4.6320315450429916E-3</v>
      </c>
      <c r="D73">
        <v>4.0063966065645218E-2</v>
      </c>
      <c r="E73">
        <v>9.709494560956955E-2</v>
      </c>
      <c r="F73">
        <v>3.361843153834343E-2</v>
      </c>
      <c r="G73">
        <v>3.278103843331337E-2</v>
      </c>
      <c r="H73">
        <v>5.1720361225306988E-3</v>
      </c>
      <c r="I73">
        <v>-6.1473783105611801E-2</v>
      </c>
      <c r="J73" s="6">
        <v>1E-4</v>
      </c>
      <c r="K73" s="2">
        <v>4.361288E-2</v>
      </c>
    </row>
    <row r="74" spans="1:11" x14ac:dyDescent="0.25">
      <c r="A74" s="4">
        <v>44592</v>
      </c>
      <c r="B74" s="11">
        <v>0.24137932062149048</v>
      </c>
      <c r="C74">
        <v>1.0587632277747616E-4</v>
      </c>
      <c r="D74">
        <v>-0.11573214828968048</v>
      </c>
      <c r="E74">
        <v>7.1315011009573936E-3</v>
      </c>
      <c r="F74">
        <v>3.6759056150913239E-2</v>
      </c>
      <c r="G74">
        <v>-3.3727310597896576E-2</v>
      </c>
      <c r="H74">
        <v>3.7086933851242065E-2</v>
      </c>
      <c r="I74">
        <v>-0.29098331928253174</v>
      </c>
      <c r="J74" s="6">
        <v>0</v>
      </c>
      <c r="K74" s="2">
        <v>-5.2585090000000001E-2</v>
      </c>
    </row>
    <row r="75" spans="1:11" x14ac:dyDescent="0.25">
      <c r="A75" s="4">
        <v>44620</v>
      </c>
      <c r="B75" s="11">
        <v>4.3970499187707901E-2</v>
      </c>
      <c r="C75">
        <v>1.0901764966547489E-2</v>
      </c>
      <c r="D75">
        <v>-0.13938096165657043</v>
      </c>
      <c r="E75">
        <v>-3.8655675947666168E-2</v>
      </c>
      <c r="F75">
        <v>8.2659898325800896E-3</v>
      </c>
      <c r="G75">
        <v>-3.3259380608797073E-2</v>
      </c>
      <c r="H75">
        <v>-4.2045917361974716E-2</v>
      </c>
      <c r="I75">
        <v>-7.6368458569049835E-2</v>
      </c>
      <c r="J75" s="6">
        <v>0</v>
      </c>
      <c r="K75" s="2">
        <v>-3.1360520000000003E-2</v>
      </c>
    </row>
    <row r="76" spans="1:11" x14ac:dyDescent="0.25">
      <c r="A76" s="4">
        <v>44651</v>
      </c>
      <c r="B76" s="11">
        <v>5.3175188601016998E-2</v>
      </c>
      <c r="C76">
        <v>-4.1147544980049133E-2</v>
      </c>
      <c r="D76">
        <v>-4.6227402985095978E-2</v>
      </c>
      <c r="E76">
        <v>7.6927676796913147E-2</v>
      </c>
      <c r="F76">
        <v>-5.0866398960351944E-2</v>
      </c>
      <c r="G76">
        <v>0.10594846308231354</v>
      </c>
      <c r="H76">
        <v>-6.2669672071933746E-2</v>
      </c>
      <c r="I76">
        <v>-5.0517067313194275E-2</v>
      </c>
      <c r="J76" s="6">
        <v>1E-4</v>
      </c>
      <c r="K76" s="2">
        <v>3.5773239999999998E-2</v>
      </c>
    </row>
    <row r="77" spans="1:11" x14ac:dyDescent="0.25">
      <c r="A77" s="4">
        <v>44680</v>
      </c>
      <c r="B77" s="11">
        <v>3.2207336276769638E-2</v>
      </c>
      <c r="C77">
        <v>-0.18524587154388428</v>
      </c>
      <c r="D77">
        <v>3.574674716219306E-3</v>
      </c>
      <c r="E77">
        <v>1.8224967643618584E-2</v>
      </c>
      <c r="F77">
        <v>-7.8523740172386169E-2</v>
      </c>
      <c r="G77">
        <v>2.7330160140991211E-2</v>
      </c>
      <c r="H77">
        <v>-0.13440079987049103</v>
      </c>
      <c r="I77">
        <v>-0.49181771278381348</v>
      </c>
      <c r="J77" s="6">
        <v>1E-4</v>
      </c>
      <c r="K77" s="2">
        <v>-8.7956720000000002E-2</v>
      </c>
    </row>
    <row r="78" spans="1:11" x14ac:dyDescent="0.25">
      <c r="A78" s="4">
        <v>44712</v>
      </c>
      <c r="B78" s="11">
        <v>0.1364222913980484</v>
      </c>
      <c r="C78">
        <v>5.0167642533779144E-2</v>
      </c>
      <c r="D78">
        <v>7.8229233622550964E-3</v>
      </c>
      <c r="E78">
        <v>1.1082348646596074E-3</v>
      </c>
      <c r="F78">
        <v>0.10777541249990463</v>
      </c>
      <c r="G78">
        <v>-0.15556572377681732</v>
      </c>
      <c r="H78">
        <v>4.2600911110639572E-2</v>
      </c>
      <c r="I78">
        <v>3.7192698568105698E-2</v>
      </c>
      <c r="J78" s="6">
        <v>2.9999999999999997E-4</v>
      </c>
      <c r="K78" s="2">
        <v>5.3243879999999999E-5</v>
      </c>
    </row>
    <row r="79" spans="1:11" x14ac:dyDescent="0.25">
      <c r="A79" s="4">
        <v>44742</v>
      </c>
      <c r="B79" s="11">
        <v>-0.10791667550802231</v>
      </c>
      <c r="C79">
        <v>-0.18571978807449341</v>
      </c>
      <c r="D79">
        <v>-8.7795250117778778E-2</v>
      </c>
      <c r="E79">
        <v>-1.125162560492754E-2</v>
      </c>
      <c r="F79">
        <v>-1.0528385639190674E-2</v>
      </c>
      <c r="G79">
        <v>-5.4808385670185089E-2</v>
      </c>
      <c r="H79">
        <v>-0.15752692520618439</v>
      </c>
      <c r="I79">
        <v>-0.11431324481964111</v>
      </c>
      <c r="J79" s="6">
        <v>5.9999999999999995E-4</v>
      </c>
      <c r="K79" s="2">
        <v>-8.391999E-2</v>
      </c>
    </row>
    <row r="80" spans="1:11" x14ac:dyDescent="0.25">
      <c r="A80" s="4">
        <v>44771</v>
      </c>
      <c r="B80" s="11">
        <v>0.13183093070983887</v>
      </c>
      <c r="C80">
        <v>0.16082936525344849</v>
      </c>
      <c r="D80">
        <v>9.724000096321106E-2</v>
      </c>
      <c r="E80">
        <v>-1.6844067722558975E-2</v>
      </c>
      <c r="F80">
        <v>-7.7241405844688416E-2</v>
      </c>
      <c r="G80">
        <v>8.6116142570972443E-2</v>
      </c>
      <c r="H80">
        <v>8.6090661585330963E-2</v>
      </c>
      <c r="I80">
        <v>0.28609824180603027</v>
      </c>
      <c r="J80" s="6">
        <v>8.0000000000000004E-4</v>
      </c>
      <c r="K80" s="2">
        <v>9.1116349999999999E-2</v>
      </c>
    </row>
    <row r="81" spans="1:11" x14ac:dyDescent="0.25">
      <c r="A81" s="4">
        <v>44804</v>
      </c>
      <c r="B81" s="11">
        <v>-4.7457339242100716E-3</v>
      </c>
      <c r="C81">
        <v>-6.3591017387807369E-3</v>
      </c>
      <c r="D81">
        <v>-3.528938814997673E-2</v>
      </c>
      <c r="E81">
        <v>-6.9046571850776672E-2</v>
      </c>
      <c r="F81">
        <v>-9.4825662672519684E-2</v>
      </c>
      <c r="G81">
        <v>8.0272620543837547E-3</v>
      </c>
      <c r="H81">
        <v>-5.915431771427393E-3</v>
      </c>
      <c r="I81">
        <v>-5.9581873938441277E-3</v>
      </c>
      <c r="J81" s="6">
        <v>1.9E-3</v>
      </c>
      <c r="K81" s="2">
        <v>-4.2440119999999998E-2</v>
      </c>
    </row>
    <row r="82" spans="1:11" x14ac:dyDescent="0.25">
      <c r="A82" s="4">
        <v>44834</v>
      </c>
      <c r="B82" s="11">
        <v>-8.6619928479194641E-2</v>
      </c>
      <c r="C82">
        <v>-0.15590961277484894</v>
      </c>
      <c r="D82">
        <v>-4.327026754617691E-2</v>
      </c>
      <c r="E82">
        <v>1.2520170770585537E-2</v>
      </c>
      <c r="F82">
        <v>-9.1844059526920319E-2</v>
      </c>
      <c r="G82">
        <v>-2.1501366049051285E-2</v>
      </c>
      <c r="H82">
        <v>-9.4912223517894745E-2</v>
      </c>
      <c r="I82">
        <v>5.3140118718147278E-2</v>
      </c>
      <c r="J82" s="6">
        <v>1.9E-3</v>
      </c>
      <c r="K82" s="2">
        <v>-9.3395699999999998E-2</v>
      </c>
    </row>
    <row r="83" spans="1:11" x14ac:dyDescent="0.25">
      <c r="A83" s="4">
        <v>44865</v>
      </c>
      <c r="B83" s="11">
        <v>0.26915588974952698</v>
      </c>
      <c r="C83">
        <v>0.25682437419891357</v>
      </c>
      <c r="D83">
        <v>7.3168091475963593E-2</v>
      </c>
      <c r="E83">
        <v>6.4948581159114838E-2</v>
      </c>
      <c r="F83">
        <v>1.382609480060637E-3</v>
      </c>
      <c r="G83">
        <v>9.7378604114055634E-2</v>
      </c>
      <c r="H83">
        <v>0.19337747991085052</v>
      </c>
      <c r="I83">
        <v>0.2397213876247406</v>
      </c>
      <c r="J83" s="6">
        <v>2.3E-3</v>
      </c>
      <c r="K83" s="2">
        <v>7.9863450000000002E-2</v>
      </c>
    </row>
    <row r="84" spans="1:11" x14ac:dyDescent="0.25">
      <c r="A84" s="4">
        <v>44895</v>
      </c>
      <c r="B84" s="11">
        <v>1.2995206750929356E-2</v>
      </c>
      <c r="C84">
        <v>0.10487089306116104</v>
      </c>
      <c r="D84">
        <v>0.10049635171890259</v>
      </c>
      <c r="E84">
        <v>2.9660278931260109E-2</v>
      </c>
      <c r="F84">
        <v>4.3082702904939651E-2</v>
      </c>
      <c r="G84">
        <v>7.0891566574573517E-2</v>
      </c>
      <c r="H84">
        <v>5.0221905112266541E-2</v>
      </c>
      <c r="I84">
        <v>4.6765770763158798E-2</v>
      </c>
      <c r="J84" s="6">
        <v>2.8999999999999998E-3</v>
      </c>
      <c r="K84" s="2">
        <v>5.375286E-2</v>
      </c>
    </row>
    <row r="85" spans="1:11" x14ac:dyDescent="0.25">
      <c r="A85" s="4">
        <v>44925</v>
      </c>
      <c r="B85" s="11">
        <v>-9.3406978994607925E-3</v>
      </c>
      <c r="C85">
        <v>-2.4427128955721855E-2</v>
      </c>
      <c r="D85">
        <v>-2.5093382224440575E-2</v>
      </c>
      <c r="E85">
        <v>-7.5843040831387043E-3</v>
      </c>
      <c r="F85">
        <v>1.0774807073175907E-2</v>
      </c>
      <c r="G85">
        <v>-6.606747955083847E-2</v>
      </c>
      <c r="H85">
        <v>-0.11915455013513565</v>
      </c>
      <c r="I85">
        <v>-3.4857440739870071E-2</v>
      </c>
      <c r="J85" s="6">
        <v>3.3E-3</v>
      </c>
      <c r="K85" s="2">
        <v>-5.8971450000000002E-2</v>
      </c>
    </row>
    <row r="86" spans="1:11" x14ac:dyDescent="0.25">
      <c r="A86" s="4">
        <v>44957</v>
      </c>
      <c r="B86" s="11">
        <v>5.1767896860837936E-2</v>
      </c>
      <c r="C86">
        <v>0.23637676239013672</v>
      </c>
      <c r="D86">
        <v>2.6309214532375336E-2</v>
      </c>
      <c r="E86">
        <v>-7.4893839657306671E-2</v>
      </c>
      <c r="F86">
        <v>7.1637004613876343E-2</v>
      </c>
      <c r="G86">
        <v>1.4669595286250114E-2</v>
      </c>
      <c r="H86">
        <v>7.1256056427955627E-2</v>
      </c>
      <c r="I86">
        <v>0.20001348853111267</v>
      </c>
      <c r="J86" s="6">
        <v>3.4999999999999996E-3</v>
      </c>
      <c r="K86" s="2">
        <v>6.1752830000000002E-2</v>
      </c>
    </row>
    <row r="87" spans="1:11" x14ac:dyDescent="0.25">
      <c r="A87" s="4">
        <v>44985</v>
      </c>
      <c r="B87" s="11">
        <v>-4.4737506657838821E-2</v>
      </c>
      <c r="C87">
        <v>5.2559588104486465E-2</v>
      </c>
      <c r="D87">
        <v>-8.5233069956302643E-2</v>
      </c>
      <c r="E87">
        <v>-5.5256418883800507E-2</v>
      </c>
      <c r="F87">
        <v>-6.639399379491806E-2</v>
      </c>
      <c r="G87">
        <v>-1.2094183824956417E-2</v>
      </c>
      <c r="H87">
        <v>-3.3258181065320969E-2</v>
      </c>
      <c r="I87">
        <v>-8.966817706823349E-2</v>
      </c>
      <c r="J87" s="6">
        <v>3.4000000000000002E-3</v>
      </c>
      <c r="K87" s="2">
        <v>-2.6112449999999999E-2</v>
      </c>
    </row>
    <row r="88" spans="1:11" x14ac:dyDescent="0.25">
      <c r="A88" s="4">
        <v>45016</v>
      </c>
      <c r="B88" s="11">
        <v>-2.2745882160961628E-3</v>
      </c>
      <c r="C88">
        <v>0.12950064241886139</v>
      </c>
      <c r="D88">
        <v>2.2593459580093622E-3</v>
      </c>
      <c r="E88">
        <v>1.1353292502462864E-2</v>
      </c>
      <c r="F88">
        <v>2.0612732041627169E-3</v>
      </c>
      <c r="G88">
        <v>4.1440878063440323E-2</v>
      </c>
      <c r="H88">
        <v>-0.15976673364639282</v>
      </c>
      <c r="I88">
        <v>7.2486281394958496E-2</v>
      </c>
      <c r="J88" s="6">
        <v>3.5999999999999999E-3</v>
      </c>
      <c r="K88" s="2">
        <v>3.5051570000000004E-2</v>
      </c>
    </row>
    <row r="89" spans="1:11" x14ac:dyDescent="0.25">
      <c r="A89" s="4">
        <v>45044</v>
      </c>
      <c r="B89" s="11">
        <v>7.9153679311275482E-2</v>
      </c>
      <c r="C89">
        <v>3.525107353925705E-2</v>
      </c>
      <c r="D89">
        <v>1.8365455791354179E-2</v>
      </c>
      <c r="E89">
        <v>5.6129012256860733E-2</v>
      </c>
      <c r="F89">
        <v>1.5235341154038906E-2</v>
      </c>
      <c r="G89">
        <v>2.3872528225183487E-2</v>
      </c>
      <c r="H89">
        <v>2.3776235058903694E-2</v>
      </c>
      <c r="I89">
        <v>-4.500989243388176E-2</v>
      </c>
      <c r="J89" s="6">
        <v>3.4999999999999996E-3</v>
      </c>
      <c r="K89" s="2">
        <v>1.464236E-2</v>
      </c>
    </row>
    <row r="90" spans="1:11" x14ac:dyDescent="0.25">
      <c r="A90" s="4">
        <v>45077</v>
      </c>
      <c r="B90" s="11">
        <v>-0.12886594235897064</v>
      </c>
      <c r="C90">
        <v>2.5866398587822914E-2</v>
      </c>
      <c r="D90">
        <v>-4.9910146743059158E-2</v>
      </c>
      <c r="E90">
        <v>-4.5510075986385345E-2</v>
      </c>
      <c r="F90">
        <v>-8.2410521805286407E-2</v>
      </c>
      <c r="G90">
        <v>-2.3382168263196945E-2</v>
      </c>
      <c r="H90">
        <v>-5.0887968391180038E-2</v>
      </c>
      <c r="I90">
        <v>0.19792082905769348</v>
      </c>
      <c r="J90" s="6">
        <v>3.5999999999999999E-3</v>
      </c>
      <c r="K90" s="2">
        <v>2.4823240000000002E-3</v>
      </c>
    </row>
    <row r="91" spans="1:11" x14ac:dyDescent="0.25">
      <c r="A91" s="4">
        <v>45107</v>
      </c>
      <c r="B91" s="11">
        <v>4.9618318676948547E-2</v>
      </c>
      <c r="C91">
        <v>8.1946223974227905E-2</v>
      </c>
      <c r="D91">
        <v>9.5925211906433105E-2</v>
      </c>
      <c r="E91">
        <v>6.7457802593708038E-2</v>
      </c>
      <c r="F91">
        <v>4.3783258646726608E-2</v>
      </c>
      <c r="G91">
        <v>7.0198118686676025E-2</v>
      </c>
      <c r="H91">
        <v>4.0302250534296036E-2</v>
      </c>
      <c r="I91">
        <v>0.11451554298400879</v>
      </c>
      <c r="J91" s="6">
        <v>4.0000000000000001E-3</v>
      </c>
      <c r="K91" s="2">
        <v>6.4727510000000002E-2</v>
      </c>
    </row>
    <row r="92" spans="1:11" x14ac:dyDescent="0.25">
      <c r="A92" s="4">
        <v>45138</v>
      </c>
      <c r="B92" s="11">
        <v>-9.3260008725337684E-5</v>
      </c>
      <c r="C92">
        <v>4.069184884428978E-2</v>
      </c>
      <c r="D92">
        <v>7.4684463441371918E-2</v>
      </c>
      <c r="E92">
        <v>1.214351411908865E-2</v>
      </c>
      <c r="F92">
        <v>-6.6079504787921906E-2</v>
      </c>
      <c r="G92">
        <v>1.7050566151738167E-2</v>
      </c>
      <c r="H92">
        <v>0.11537119001150131</v>
      </c>
      <c r="I92">
        <v>-3.4506777301430702E-3</v>
      </c>
      <c r="J92" s="6">
        <v>4.5000000000000005E-3</v>
      </c>
      <c r="K92" s="2">
        <v>3.1138910000000002E-2</v>
      </c>
    </row>
    <row r="93" spans="1:11" x14ac:dyDescent="0.25">
      <c r="A93" s="4">
        <v>45169</v>
      </c>
      <c r="B93" s="11">
        <v>4.5318953692913055E-2</v>
      </c>
      <c r="C93">
        <v>1.9257810199633241E-3</v>
      </c>
      <c r="D93">
        <v>-4.343423992395401E-3</v>
      </c>
      <c r="E93">
        <v>-2.781594917178154E-2</v>
      </c>
      <c r="F93">
        <v>2.6408381760120392E-2</v>
      </c>
      <c r="G93">
        <v>2.0768171176314354E-2</v>
      </c>
      <c r="H93">
        <v>-9.6562497317790985E-2</v>
      </c>
      <c r="I93">
        <v>-1.205095648765564E-2</v>
      </c>
      <c r="J93" s="6">
        <v>4.5000000000000005E-3</v>
      </c>
      <c r="K93" s="2">
        <v>-1.7716430000000002E-2</v>
      </c>
    </row>
    <row r="94" spans="1:11" x14ac:dyDescent="0.25">
      <c r="A94" s="4">
        <v>45198</v>
      </c>
      <c r="B94" s="11">
        <v>5.7469189167022705E-2</v>
      </c>
      <c r="C94">
        <v>-3.3461436629295349E-2</v>
      </c>
      <c r="D94">
        <v>-8.5195228457450867E-2</v>
      </c>
      <c r="E94">
        <v>-3.6677345633506775E-2</v>
      </c>
      <c r="F94">
        <v>-7.3470547795295715E-2</v>
      </c>
      <c r="G94">
        <v>-1.6481200233101845E-2</v>
      </c>
      <c r="H94">
        <v>-4.499480128288269E-2</v>
      </c>
      <c r="I94">
        <v>-0.12931190431118011</v>
      </c>
      <c r="J94" s="6">
        <v>4.3E-3</v>
      </c>
      <c r="K94" s="2">
        <v>-4.8719289999999998E-2</v>
      </c>
    </row>
    <row r="95" spans="1:11" x14ac:dyDescent="0.25">
      <c r="A95" s="4">
        <v>45230</v>
      </c>
      <c r="B95" s="11">
        <v>-9.9761888384819031E-2</v>
      </c>
      <c r="C95">
        <v>-1.7367759719491005E-2</v>
      </c>
      <c r="D95">
        <v>-5.781705304980278E-2</v>
      </c>
      <c r="E95">
        <v>-4.7576267272233963E-2</v>
      </c>
      <c r="F95">
        <v>0.10444311052560806</v>
      </c>
      <c r="G95">
        <v>2.175959013402462E-2</v>
      </c>
      <c r="H95">
        <v>-3.7983894348144531E-2</v>
      </c>
      <c r="I95">
        <v>9.0280711650848389E-2</v>
      </c>
      <c r="J95" s="6">
        <v>4.6999999999999993E-3</v>
      </c>
      <c r="K95" s="2">
        <v>-2.197969E-2</v>
      </c>
    </row>
    <row r="96" spans="1:11" x14ac:dyDescent="0.25">
      <c r="A96" s="4">
        <v>45260</v>
      </c>
      <c r="B96" s="11">
        <v>-2.0406240597367287E-2</v>
      </c>
      <c r="C96">
        <v>0.12123728543519974</v>
      </c>
      <c r="D96">
        <v>0.10850394517183304</v>
      </c>
      <c r="E96">
        <v>5.0626989454030991E-2</v>
      </c>
      <c r="F96">
        <v>9.1090254485607147E-2</v>
      </c>
      <c r="G96">
        <v>-4.7243136912584305E-2</v>
      </c>
      <c r="H96">
        <v>0.1666666567325592</v>
      </c>
      <c r="I96">
        <v>0.15127886831760406</v>
      </c>
      <c r="J96" s="6">
        <v>4.4000000000000003E-3</v>
      </c>
      <c r="K96" s="2">
        <v>8.9179259999999996E-2</v>
      </c>
    </row>
    <row r="97" spans="1:11" ht="15.75" thickBot="1" x14ac:dyDescent="0.3">
      <c r="A97" s="5">
        <v>45289</v>
      </c>
      <c r="B97" s="12">
        <v>-2.6863874867558479E-2</v>
      </c>
      <c r="C97" s="3">
        <v>4.8522118479013443E-2</v>
      </c>
      <c r="D97" s="3">
        <v>0.10545790195465088</v>
      </c>
      <c r="E97" s="3">
        <v>1.34488670155406E-2</v>
      </c>
      <c r="F97" s="3">
        <v>-1.6436239704489708E-2</v>
      </c>
      <c r="G97" s="3">
        <v>1.6250185668468475E-2</v>
      </c>
      <c r="H97" s="3">
        <v>0.10429643839597702</v>
      </c>
      <c r="I97" s="3">
        <v>2.7238018810749054E-2</v>
      </c>
      <c r="J97" s="7">
        <v>4.3E-3</v>
      </c>
      <c r="K97" s="13">
        <v>4.4229169999999998E-2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04F9-32D1-44B9-B3F7-00899EFFE63A}">
  <dimension ref="A1:K27"/>
  <sheetViews>
    <sheetView topLeftCell="A6" workbookViewId="0">
      <selection activeCell="B19" sqref="B19:K19"/>
    </sheetView>
  </sheetViews>
  <sheetFormatPr defaultRowHeight="15" x14ac:dyDescent="0.25"/>
  <cols>
    <col min="1" max="1" width="28" bestFit="1" customWidth="1"/>
    <col min="2" max="2" width="12.7109375" bestFit="1" customWidth="1"/>
    <col min="12" max="12" width="11" bestFit="1" customWidth="1"/>
  </cols>
  <sheetData>
    <row r="1" spans="1:11" ht="15.75" thickBot="1" x14ac:dyDescent="0.3">
      <c r="A1" s="68"/>
      <c r="B1" s="69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K1" s="85" t="s">
        <v>130</v>
      </c>
    </row>
    <row r="2" spans="1:11" x14ac:dyDescent="0.25">
      <c r="A2" t="s">
        <v>127</v>
      </c>
      <c r="B2">
        <f>AVERAGE(Data!B2:B97)</f>
        <v>1.000647216839449E-2</v>
      </c>
      <c r="C2">
        <f>AVERAGE(Data!C2:C97)</f>
        <v>2.7939852688329361E-3</v>
      </c>
      <c r="D2">
        <f>AVERAGE(Data!D2:D97)</f>
        <v>1.4139893652706329E-2</v>
      </c>
      <c r="E2">
        <f>AVERAGE(Data!E2:E97)</f>
        <v>7.7462473006259342E-3</v>
      </c>
      <c r="F2">
        <f>AVERAGE(Data!F2:F97)</f>
        <v>3.2866288365767105E-3</v>
      </c>
      <c r="G2">
        <f>AVERAGE(Data!G2:G97)</f>
        <v>1.2912393172579565E-2</v>
      </c>
      <c r="H2">
        <f>AVERAGE(Data!H2:H97)</f>
        <v>1.3215150827212105E-2</v>
      </c>
      <c r="I2">
        <f>AVERAGE(Data!I2:I97)</f>
        <v>2.289401301338027E-2</v>
      </c>
    </row>
    <row r="3" spans="1:11" x14ac:dyDescent="0.25">
      <c r="A3" t="s">
        <v>128</v>
      </c>
      <c r="B3">
        <f>_xlfn.STDEV.S(Data!B2:B97)</f>
        <v>8.4575546340940555E-2</v>
      </c>
      <c r="C3">
        <f>_xlfn.STDEV.S(Data!C2:C97)</f>
        <v>0.10701118826119829</v>
      </c>
      <c r="D3">
        <f>_xlfn.STDEV.S(Data!D2:D97)</f>
        <v>6.4818622536287687E-2</v>
      </c>
      <c r="E3">
        <f>_xlfn.STDEV.S(Data!E2:E97)</f>
        <v>4.641564438451045E-2</v>
      </c>
      <c r="F3">
        <f>_xlfn.STDEV.S(Data!F2:F97)</f>
        <v>5.1226708015411085E-2</v>
      </c>
      <c r="G3">
        <f>_xlfn.STDEV.S(Data!G2:G97)</f>
        <v>5.1913869693024202E-2</v>
      </c>
      <c r="H3">
        <f>_xlfn.STDEV.S(Data!H2:H97)</f>
        <v>9.0971721658222843E-2</v>
      </c>
      <c r="I3">
        <f>_xlfn.STDEV.S(Data!I2:I97)</f>
        <v>0.12075074030265043</v>
      </c>
    </row>
    <row r="4" spans="1:11" x14ac:dyDescent="0.25">
      <c r="A4" t="s">
        <v>129</v>
      </c>
      <c r="B4">
        <f>_xlfn.VAR.S(Data!B2:B97)</f>
        <v>7.1530230388685825E-3</v>
      </c>
      <c r="C4">
        <f>_xlfn.VAR.S(Data!C2:C97)</f>
        <v>1.1451394413073622E-2</v>
      </c>
      <c r="D4">
        <f>_xlfn.VAR.S(Data!D2:D97)</f>
        <v>4.2014538275017416E-3</v>
      </c>
      <c r="E4">
        <f>_xlfn.VAR.S(Data!E2:E97)</f>
        <v>2.1544120436293368E-3</v>
      </c>
      <c r="F4">
        <f>_xlfn.VAR.S(Data!F2:F97)</f>
        <v>2.6241756140961822E-3</v>
      </c>
      <c r="G4">
        <f>_xlfn.VAR.S(Data!G2:G97)</f>
        <v>2.6950498665042964E-3</v>
      </c>
      <c r="H4">
        <f>_xlfn.VAR.S(Data!H2:H97)</f>
        <v>8.2758541414611701E-3</v>
      </c>
      <c r="I4">
        <f>_xlfn.VAR.S(Data!I2:I97)</f>
        <v>1.4580741283638126E-2</v>
      </c>
    </row>
    <row r="6" spans="1:11" ht="15.75" thickBot="1" x14ac:dyDescent="0.3"/>
    <row r="7" spans="1:11" x14ac:dyDescent="0.25">
      <c r="A7" s="88" t="s">
        <v>131</v>
      </c>
      <c r="B7" s="88" t="s">
        <v>1</v>
      </c>
      <c r="C7" s="88" t="s">
        <v>2</v>
      </c>
      <c r="D7" s="88" t="s">
        <v>3</v>
      </c>
      <c r="E7" s="88" t="s">
        <v>4</v>
      </c>
      <c r="F7" s="88" t="s">
        <v>5</v>
      </c>
      <c r="G7" s="88" t="s">
        <v>6</v>
      </c>
      <c r="H7" s="88" t="s">
        <v>7</v>
      </c>
      <c r="I7" s="88" t="s">
        <v>8</v>
      </c>
    </row>
    <row r="8" spans="1:11" x14ac:dyDescent="0.25">
      <c r="A8" s="86" t="s">
        <v>1</v>
      </c>
      <c r="B8" s="86">
        <f>VARP(Data!$B$2:$B$1048576)</f>
        <v>7.0785123822137037E-3</v>
      </c>
      <c r="C8" s="86"/>
      <c r="D8" s="86"/>
      <c r="E8" s="86"/>
      <c r="F8" s="86"/>
      <c r="G8" s="86"/>
      <c r="H8" s="86"/>
      <c r="I8" s="86"/>
    </row>
    <row r="9" spans="1:11" x14ac:dyDescent="0.25">
      <c r="A9" s="86" t="s">
        <v>2</v>
      </c>
      <c r="B9" s="86">
        <v>4.000222022122993E-3</v>
      </c>
      <c r="C9" s="86">
        <f>VARP(Data!$C$2:$C$1048576)</f>
        <v>1.1332109054604106E-2</v>
      </c>
      <c r="D9" s="86"/>
      <c r="E9" s="86"/>
      <c r="G9">
        <f>_xlfn.COVARIANCE.S(Data!B2:B97, Data!C2:C97)</f>
        <v>4.0423296223558672E-3</v>
      </c>
      <c r="H9" s="86"/>
      <c r="I9" s="86"/>
    </row>
    <row r="10" spans="1:11" x14ac:dyDescent="0.25">
      <c r="A10" s="86" t="s">
        <v>3</v>
      </c>
      <c r="B10" s="86">
        <v>1.6564729101745397E-3</v>
      </c>
      <c r="C10" s="86">
        <v>1.5173524134409787E-3</v>
      </c>
      <c r="D10" s="86">
        <f>VARP(Data!$D$2:$D$1048576)</f>
        <v>4.1576886834652649E-3</v>
      </c>
      <c r="E10" s="86"/>
      <c r="F10" s="86"/>
      <c r="H10" s="86"/>
      <c r="I10" s="86"/>
    </row>
    <row r="11" spans="1:11" x14ac:dyDescent="0.25">
      <c r="A11" s="86" t="s">
        <v>4</v>
      </c>
      <c r="B11" s="86">
        <v>1.4939663619422492E-3</v>
      </c>
      <c r="C11" s="86">
        <v>3.2247958966010116E-4</v>
      </c>
      <c r="D11" s="86">
        <v>1.1106261261837542E-3</v>
      </c>
      <c r="E11" s="86">
        <f>VARP(Data!$E$2:$E$1048576)</f>
        <v>2.1319702515081983E-3</v>
      </c>
      <c r="F11" s="86"/>
      <c r="G11" s="86"/>
      <c r="H11" s="86"/>
      <c r="I11" s="86"/>
    </row>
    <row r="12" spans="1:11" x14ac:dyDescent="0.25">
      <c r="A12" s="86" t="s">
        <v>5</v>
      </c>
      <c r="B12" s="86">
        <v>1.2032190003709502E-3</v>
      </c>
      <c r="C12" s="86">
        <v>6.8145539672752071E-4</v>
      </c>
      <c r="D12" s="86">
        <v>8.7441947487986837E-4</v>
      </c>
      <c r="E12" s="86">
        <v>9.4284447279327152E-4</v>
      </c>
      <c r="F12" s="86">
        <f>VARP(Data!$F$2:$F$1048576)</f>
        <v>2.5968404514493471E-3</v>
      </c>
      <c r="G12" s="86"/>
      <c r="H12" s="86"/>
      <c r="I12" s="86"/>
    </row>
    <row r="13" spans="1:11" x14ac:dyDescent="0.25">
      <c r="A13" s="86" t="s">
        <v>6</v>
      </c>
      <c r="B13" s="86">
        <v>6.821970455028703E-4</v>
      </c>
      <c r="C13" s="86">
        <v>4.7880956969333202E-4</v>
      </c>
      <c r="D13" s="86">
        <v>1.1656540386091134E-3</v>
      </c>
      <c r="E13" s="86">
        <v>1.0622793421190949E-3</v>
      </c>
      <c r="F13" s="86">
        <v>8.7404752000395502E-4</v>
      </c>
      <c r="G13" s="86">
        <f>VARP(Data!$G$2:$G$1048576)</f>
        <v>2.6669764303948766E-3</v>
      </c>
      <c r="H13" s="86"/>
      <c r="I13" s="86"/>
    </row>
    <row r="14" spans="1:11" x14ac:dyDescent="0.25">
      <c r="A14" s="86" t="s">
        <v>7</v>
      </c>
      <c r="B14" s="86">
        <v>4.1307074818316544E-3</v>
      </c>
      <c r="C14" s="86">
        <v>5.0034232302277838E-3</v>
      </c>
      <c r="D14" s="86">
        <v>3.0798747775743237E-3</v>
      </c>
      <c r="E14" s="86">
        <v>1.3401207512192821E-3</v>
      </c>
      <c r="F14" s="86">
        <v>8.3294543114108537E-4</v>
      </c>
      <c r="G14" s="86">
        <v>7.6431167696356956E-4</v>
      </c>
      <c r="H14" s="86">
        <f>VARP(Data!$H$2:$H$1048576)</f>
        <v>8.1896473274876147E-3</v>
      </c>
      <c r="I14" s="86"/>
    </row>
    <row r="15" spans="1:11" ht="15.75" thickBot="1" x14ac:dyDescent="0.3">
      <c r="A15" s="87" t="s">
        <v>8</v>
      </c>
      <c r="B15" s="87">
        <v>7.8578854779371018E-4</v>
      </c>
      <c r="C15" s="87">
        <v>4.1804613028323953E-3</v>
      </c>
      <c r="D15" s="87">
        <v>2.3040797634922717E-3</v>
      </c>
      <c r="E15" s="87">
        <v>5.9885967113812509E-5</v>
      </c>
      <c r="F15" s="87">
        <v>1.802815755147253E-4</v>
      </c>
      <c r="G15" s="87">
        <v>7.5812433217767913E-4</v>
      </c>
      <c r="H15" s="87">
        <v>3.7497625182861798E-3</v>
      </c>
      <c r="I15" s="87">
        <f>VARP(Data!$I$2:$I$1048576)</f>
        <v>1.4428858561933565E-2</v>
      </c>
    </row>
    <row r="17" spans="1:9" x14ac:dyDescent="0.25">
      <c r="A17" s="17" t="s">
        <v>50</v>
      </c>
      <c r="B17" s="17">
        <f>COUNTA(Data!B2:B97)</f>
        <v>96</v>
      </c>
    </row>
    <row r="18" spans="1:9" ht="15.75" thickBot="1" x14ac:dyDescent="0.3"/>
    <row r="19" spans="1:9" x14ac:dyDescent="0.25">
      <c r="A19" s="88" t="s">
        <v>132</v>
      </c>
      <c r="B19" s="88" t="s">
        <v>1</v>
      </c>
      <c r="C19" s="88" t="s">
        <v>2</v>
      </c>
      <c r="D19" s="88" t="s">
        <v>3</v>
      </c>
      <c r="E19" s="88" t="s">
        <v>4</v>
      </c>
      <c r="F19" s="88" t="s">
        <v>5</v>
      </c>
      <c r="G19" s="88" t="s">
        <v>6</v>
      </c>
      <c r="H19" s="88" t="s">
        <v>7</v>
      </c>
      <c r="I19" s="88" t="s">
        <v>8</v>
      </c>
    </row>
    <row r="20" spans="1:9" x14ac:dyDescent="0.25">
      <c r="A20" s="86" t="s">
        <v>1</v>
      </c>
      <c r="B20" s="86">
        <f>B8*$B$17/($B$17-1)</f>
        <v>7.1530230388685851E-3</v>
      </c>
      <c r="C20" s="86"/>
      <c r="D20" s="86"/>
      <c r="E20" s="86"/>
      <c r="F20" s="86"/>
      <c r="G20" s="86"/>
      <c r="H20" s="86"/>
      <c r="I20" s="86"/>
    </row>
    <row r="21" spans="1:9" x14ac:dyDescent="0.25">
      <c r="A21" s="86" t="s">
        <v>2</v>
      </c>
      <c r="B21" s="86">
        <f t="shared" ref="B21:I21" si="0">B9*$B$17/($B$17-1)</f>
        <v>4.0423296223558672E-3</v>
      </c>
      <c r="C21" s="86">
        <f t="shared" si="0"/>
        <v>1.1451394413073622E-2</v>
      </c>
      <c r="D21" s="86"/>
      <c r="E21" s="86"/>
      <c r="F21" s="86"/>
      <c r="G21" s="86"/>
      <c r="H21" s="86"/>
      <c r="I21" s="86"/>
    </row>
    <row r="22" spans="1:9" x14ac:dyDescent="0.25">
      <c r="A22" s="86" t="s">
        <v>3</v>
      </c>
      <c r="B22" s="86">
        <f t="shared" ref="B22:I22" si="1">B10*$B$17/($B$17-1)</f>
        <v>1.6739094671237452E-3</v>
      </c>
      <c r="C22" s="86">
        <f t="shared" si="1"/>
        <v>1.5333245441087784E-3</v>
      </c>
      <c r="D22" s="86">
        <f t="shared" si="1"/>
        <v>4.2014538275017416E-3</v>
      </c>
      <c r="E22" s="86"/>
      <c r="F22" s="86"/>
      <c r="G22" s="86"/>
      <c r="H22" s="86"/>
      <c r="I22" s="86"/>
    </row>
    <row r="23" spans="1:9" x14ac:dyDescent="0.25">
      <c r="A23" s="86" t="s">
        <v>4</v>
      </c>
      <c r="B23" s="86">
        <f t="shared" ref="B23:I23" si="2">B11*$B$17/($B$17-1)</f>
        <v>1.5096923236469046E-3</v>
      </c>
      <c r="C23" s="86">
        <f t="shared" si="2"/>
        <v>3.2587411165652325E-4</v>
      </c>
      <c r="D23" s="86">
        <f t="shared" si="2"/>
        <v>1.1223169275120042E-3</v>
      </c>
      <c r="E23" s="86">
        <f t="shared" si="2"/>
        <v>2.1544120436293372E-3</v>
      </c>
      <c r="F23" s="86"/>
      <c r="G23" s="86"/>
      <c r="H23" s="86"/>
      <c r="I23" s="86"/>
    </row>
    <row r="24" spans="1:9" x14ac:dyDescent="0.25">
      <c r="A24" s="86" t="s">
        <v>5</v>
      </c>
      <c r="B24" s="86">
        <f t="shared" ref="B24:I24" si="3">B12*$B$17/($B$17-1)</f>
        <v>1.2158844635327497E-3</v>
      </c>
      <c r="C24" s="86">
        <f t="shared" si="3"/>
        <v>6.8862861142991564E-4</v>
      </c>
      <c r="D24" s="86">
        <f t="shared" si="3"/>
        <v>8.8362389040491955E-4</v>
      </c>
      <c r="E24" s="86">
        <f t="shared" si="3"/>
        <v>9.5276915145425334E-4</v>
      </c>
      <c r="F24" s="86">
        <f t="shared" si="3"/>
        <v>2.6241756140961822E-3</v>
      </c>
      <c r="G24" s="86"/>
      <c r="H24" s="86"/>
      <c r="I24" s="86"/>
    </row>
    <row r="25" spans="1:9" x14ac:dyDescent="0.25">
      <c r="A25" s="86" t="s">
        <v>6</v>
      </c>
      <c r="B25" s="86">
        <f t="shared" ref="B25:I25" si="4">B13*$B$17/($B$17-1)</f>
        <v>6.8937806703447946E-4</v>
      </c>
      <c r="C25" s="86">
        <f t="shared" si="4"/>
        <v>4.8384967042694606E-4</v>
      </c>
      <c r="D25" s="86">
        <f t="shared" si="4"/>
        <v>1.1779240811207882E-3</v>
      </c>
      <c r="E25" s="86">
        <f t="shared" si="4"/>
        <v>1.0734612299308749E-3</v>
      </c>
      <c r="F25" s="86">
        <f t="shared" si="4"/>
        <v>8.8324802021452298E-4</v>
      </c>
      <c r="G25" s="86">
        <f t="shared" si="4"/>
        <v>2.695049866504296E-3</v>
      </c>
      <c r="H25" s="86"/>
      <c r="I25" s="86"/>
    </row>
    <row r="26" spans="1:9" x14ac:dyDescent="0.25">
      <c r="A26" s="86" t="s">
        <v>7</v>
      </c>
      <c r="B26" s="86">
        <f t="shared" ref="B26:I26" si="5">B14*$B$17/($B$17-1)</f>
        <v>4.1741886132193561E-3</v>
      </c>
      <c r="C26" s="86">
        <f t="shared" si="5"/>
        <v>5.0560908431775495E-3</v>
      </c>
      <c r="D26" s="86">
        <f t="shared" si="5"/>
        <v>3.1122945120751061E-3</v>
      </c>
      <c r="E26" s="86">
        <f t="shared" si="5"/>
        <v>1.3542272854426428E-3</v>
      </c>
      <c r="F26" s="86">
        <f t="shared" si="5"/>
        <v>8.417132777846757E-4</v>
      </c>
      <c r="G26" s="86">
        <f t="shared" si="5"/>
        <v>7.7235706303687031E-4</v>
      </c>
      <c r="H26" s="86">
        <f t="shared" si="5"/>
        <v>8.2758541414611683E-3</v>
      </c>
      <c r="I26" s="86"/>
    </row>
    <row r="27" spans="1:9" ht="15.75" thickBot="1" x14ac:dyDescent="0.3">
      <c r="A27" s="87" t="s">
        <v>8</v>
      </c>
      <c r="B27" s="86">
        <f t="shared" ref="B27:I27" si="6">B15*$B$17/($B$17-1)</f>
        <v>7.9406000619153879E-4</v>
      </c>
      <c r="C27" s="86">
        <f t="shared" si="6"/>
        <v>4.2244661586516843E-3</v>
      </c>
      <c r="D27" s="86">
        <f t="shared" si="6"/>
        <v>2.3283332346869271E-3</v>
      </c>
      <c r="E27" s="86">
        <f t="shared" si="6"/>
        <v>6.0516345715010535E-5</v>
      </c>
      <c r="F27" s="86">
        <f t="shared" si="6"/>
        <v>1.8217927630961715E-4</v>
      </c>
      <c r="G27" s="86">
        <f t="shared" si="6"/>
        <v>7.6610458830586516E-4</v>
      </c>
      <c r="H27" s="86">
        <f t="shared" si="6"/>
        <v>3.7892337026891923E-3</v>
      </c>
      <c r="I27" s="86">
        <f t="shared" si="6"/>
        <v>1.4580741283638128E-2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tabSelected="1" workbookViewId="0">
      <selection activeCell="I30" sqref="I30"/>
    </sheetView>
  </sheetViews>
  <sheetFormatPr defaultColWidth="8.7109375" defaultRowHeight="15" x14ac:dyDescent="0.25"/>
  <cols>
    <col min="1" max="1" width="27.28515625" bestFit="1" customWidth="1"/>
    <col min="2" max="9" width="12" bestFit="1" customWidth="1"/>
  </cols>
  <sheetData>
    <row r="1" spans="1:14" x14ac:dyDescent="0.25">
      <c r="A1" s="42"/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</row>
    <row r="2" spans="1:14" ht="15.75" thickBot="1" x14ac:dyDescent="0.3">
      <c r="A2" s="42"/>
      <c r="B2" s="81"/>
      <c r="C2" s="81"/>
      <c r="D2" s="81"/>
      <c r="E2" s="81"/>
      <c r="F2" s="81"/>
      <c r="G2" s="81"/>
      <c r="H2" s="81"/>
      <c r="I2" s="81"/>
    </row>
    <row r="3" spans="1:14" x14ac:dyDescent="0.25">
      <c r="A3" s="42" t="s">
        <v>11</v>
      </c>
      <c r="B3" s="18">
        <f>AVERAGE(Data!B2:B97)</f>
        <v>1.000647216839449E-2</v>
      </c>
      <c r="C3" s="18">
        <f>AVERAGE(Data!C2:C97)</f>
        <v>2.7939852688329361E-3</v>
      </c>
      <c r="D3" s="18">
        <f>AVERAGE(Data!D2:D97)</f>
        <v>1.4139893652706329E-2</v>
      </c>
      <c r="E3" s="18">
        <f>AVERAGE(Data!E2:E97)</f>
        <v>7.7462473006259342E-3</v>
      </c>
      <c r="F3" s="18">
        <f>AVERAGE(Data!F2:F97)</f>
        <v>3.2866288365767105E-3</v>
      </c>
      <c r="G3" s="18">
        <f>AVERAGE(Data!G2:G97)</f>
        <v>1.2912393172579565E-2</v>
      </c>
      <c r="H3" s="18">
        <f>AVERAGE(Data!H2:H97)</f>
        <v>1.3215150827212105E-2</v>
      </c>
      <c r="I3" s="18">
        <f>AVERAGE(Data!I2:I97)</f>
        <v>2.289401301338027E-2</v>
      </c>
    </row>
    <row r="4" spans="1:14" x14ac:dyDescent="0.25">
      <c r="A4" s="42" t="s">
        <v>12</v>
      </c>
      <c r="B4" s="18">
        <f>_xlfn.STDEV.S(Data!B2:B97)</f>
        <v>8.4575546340940555E-2</v>
      </c>
      <c r="C4" s="18">
        <f>_xlfn.STDEV.S(Data!C2:C97)</f>
        <v>0.10701118826119829</v>
      </c>
      <c r="D4" s="18">
        <f>_xlfn.STDEV.S(Data!D2:D97)</f>
        <v>6.4818622536287687E-2</v>
      </c>
      <c r="E4" s="18">
        <f>_xlfn.STDEV.S(Data!E2:E97)</f>
        <v>4.641564438451045E-2</v>
      </c>
      <c r="F4" s="18">
        <f>_xlfn.STDEV.S(Data!F2:F97)</f>
        <v>5.1226708015411085E-2</v>
      </c>
      <c r="G4" s="18">
        <f>_xlfn.STDEV.S(Data!G2:G97)</f>
        <v>5.1913869693024202E-2</v>
      </c>
      <c r="H4" s="18">
        <f>_xlfn.STDEV.S(Data!H2:H97)</f>
        <v>9.0971721658222843E-2</v>
      </c>
      <c r="I4" s="18">
        <f>_xlfn.STDEV.S(Data!I2:I97)</f>
        <v>0.12075074030265043</v>
      </c>
    </row>
    <row r="5" spans="1:14" x14ac:dyDescent="0.25">
      <c r="A5" s="42" t="s">
        <v>13</v>
      </c>
      <c r="B5" s="18">
        <f t="shared" ref="B5:I5" si="0">B3*12</f>
        <v>0.12007766602073389</v>
      </c>
      <c r="C5" s="18">
        <f t="shared" si="0"/>
        <v>3.3527823225995235E-2</v>
      </c>
      <c r="D5" s="18">
        <f t="shared" si="0"/>
        <v>0.16967872383247595</v>
      </c>
      <c r="E5" s="18">
        <f t="shared" si="0"/>
        <v>9.2954967607511207E-2</v>
      </c>
      <c r="F5" s="18">
        <f t="shared" si="0"/>
        <v>3.9439546038920525E-2</v>
      </c>
      <c r="G5" s="18">
        <f t="shared" si="0"/>
        <v>0.15494871807095478</v>
      </c>
      <c r="H5" s="18">
        <f t="shared" si="0"/>
        <v>0.15858180992654525</v>
      </c>
      <c r="I5" s="18">
        <f t="shared" si="0"/>
        <v>0.27472815616056323</v>
      </c>
    </row>
    <row r="6" spans="1:14" x14ac:dyDescent="0.25">
      <c r="A6" s="42" t="s">
        <v>14</v>
      </c>
      <c r="B6" s="18">
        <f t="shared" ref="B6:I6" si="1">B4*SQRT(12)</f>
        <v>0.29297828668081016</v>
      </c>
      <c r="C6" s="18">
        <f t="shared" si="1"/>
        <v>0.37069763009342732</v>
      </c>
      <c r="D6" s="18">
        <f t="shared" si="1"/>
        <v>0.22453829501895861</v>
      </c>
      <c r="E6" s="18">
        <f t="shared" si="1"/>
        <v>0.1607885086800423</v>
      </c>
      <c r="F6" s="18">
        <f t="shared" si="1"/>
        <v>0.1774545219743757</v>
      </c>
      <c r="G6" s="18">
        <f t="shared" si="1"/>
        <v>0.17983491985165606</v>
      </c>
      <c r="H6" s="18">
        <f t="shared" si="1"/>
        <v>0.31513528792811196</v>
      </c>
      <c r="I6" s="18">
        <f t="shared" si="1"/>
        <v>0.41829283451149091</v>
      </c>
    </row>
    <row r="7" spans="1:14" x14ac:dyDescent="0.25">
      <c r="A7" s="42" t="s">
        <v>15</v>
      </c>
      <c r="B7">
        <f>_xlfn.COVARIANCE.S(Data!B2:B97, Data!$K$2:$K$97)</f>
        <v>2.0644321750496321E-3</v>
      </c>
      <c r="C7">
        <f>_xlfn.COVARIANCE.S(Data!C2:C97, Data!$K$2:$K$97)</f>
        <v>2.6262887441155193E-3</v>
      </c>
      <c r="D7">
        <f>_xlfn.COVARIANCE.S(Data!D2:D97, Data!$K$2:$K$97)</f>
        <v>2.2050009569239389E-3</v>
      </c>
      <c r="E7">
        <f>_xlfn.COVARIANCE.S(Data!E2:E97, Data!$K$2:$K$97)</f>
        <v>1.1633490881495013E-3</v>
      </c>
      <c r="F7">
        <f>_xlfn.COVARIANCE.S(Data!F2:F97, Data!$K$2:$K$97)</f>
        <v>8.5645848912966618E-4</v>
      </c>
      <c r="G7">
        <f>_xlfn.COVARIANCE.S(Data!G2:G97, Data!$K$2:$K$97)</f>
        <v>1.0360901414351341E-3</v>
      </c>
      <c r="H7">
        <f>_xlfn.COVARIANCE.S(Data!H2:H97, Data!$K$2:$K$97)</f>
        <v>3.108125882420923E-3</v>
      </c>
      <c r="I7">
        <f>_xlfn.COVARIANCE.S(Data!I2:I97, Data!$K$2:$K$97)</f>
        <v>2.8166262212191632E-3</v>
      </c>
    </row>
    <row r="9" spans="1:14" ht="15.75" thickBot="1" x14ac:dyDescent="0.3">
      <c r="A9" s="42" t="s">
        <v>16</v>
      </c>
      <c r="B9" s="43"/>
      <c r="C9" s="43"/>
      <c r="D9" s="43"/>
      <c r="E9" s="43"/>
      <c r="F9" s="43"/>
      <c r="G9" s="43"/>
      <c r="H9" s="43"/>
      <c r="I9" s="43"/>
    </row>
    <row r="10" spans="1:14" x14ac:dyDescent="0.25">
      <c r="A10" s="28"/>
      <c r="B10" s="28" t="s">
        <v>17</v>
      </c>
      <c r="C10" s="28" t="s">
        <v>18</v>
      </c>
      <c r="D10" s="28" t="s">
        <v>19</v>
      </c>
      <c r="E10" s="28" t="s">
        <v>20</v>
      </c>
      <c r="F10" s="28" t="s">
        <v>21</v>
      </c>
      <c r="G10" s="28" t="s">
        <v>22</v>
      </c>
      <c r="H10" s="28" t="s">
        <v>23</v>
      </c>
      <c r="I10" s="28" t="s">
        <v>24</v>
      </c>
    </row>
    <row r="11" spans="1:14" x14ac:dyDescent="0.25">
      <c r="A11" t="s">
        <v>17</v>
      </c>
      <c r="B11" s="29">
        <f>VARP(Data!$B$2:$B$97)</f>
        <v>7.0785123822137037E-3</v>
      </c>
      <c r="C11" s="29"/>
      <c r="D11" s="29"/>
      <c r="E11" s="29"/>
      <c r="F11" s="29"/>
      <c r="G11" s="29"/>
      <c r="H11" s="29"/>
      <c r="I11" s="29"/>
    </row>
    <row r="12" spans="1:14" x14ac:dyDescent="0.25">
      <c r="A12" t="s">
        <v>18</v>
      </c>
      <c r="B12" s="29">
        <v>4.000222022122993E-3</v>
      </c>
      <c r="C12" s="29">
        <f>VARP(Data!$C$2:$C$97)</f>
        <v>1.1332109054604106E-2</v>
      </c>
      <c r="D12" s="29"/>
      <c r="E12" s="29"/>
      <c r="F12" s="29"/>
      <c r="G12" s="29"/>
      <c r="H12" s="29"/>
      <c r="I12" s="29"/>
      <c r="L12" t="s">
        <v>135</v>
      </c>
    </row>
    <row r="13" spans="1:14" x14ac:dyDescent="0.25">
      <c r="A13" t="s">
        <v>19</v>
      </c>
      <c r="B13" s="29">
        <v>1.6564729101745397E-3</v>
      </c>
      <c r="C13" s="29">
        <v>1.5173524134409787E-3</v>
      </c>
      <c r="D13" s="29">
        <f>VARP(Data!$D$2:$D$97)</f>
        <v>4.1576886834652649E-3</v>
      </c>
      <c r="E13" s="29"/>
      <c r="F13" s="29"/>
      <c r="G13" s="29"/>
      <c r="H13" s="29"/>
      <c r="I13" s="29"/>
      <c r="L13" t="s">
        <v>134</v>
      </c>
      <c r="N13" t="s">
        <v>133</v>
      </c>
    </row>
    <row r="14" spans="1:14" x14ac:dyDescent="0.25">
      <c r="A14" t="s">
        <v>20</v>
      </c>
      <c r="B14" s="29">
        <v>1.4939663619422492E-3</v>
      </c>
      <c r="C14" s="29">
        <v>3.2247958966010116E-4</v>
      </c>
      <c r="D14" s="29">
        <v>1.1106261261837542E-3</v>
      </c>
      <c r="E14" s="29">
        <f>VARP(Data!$E$2:$E$97)</f>
        <v>2.1319702515081983E-3</v>
      </c>
      <c r="F14" s="29"/>
      <c r="G14" s="29"/>
      <c r="H14" s="29"/>
      <c r="I14" s="29"/>
      <c r="L14">
        <f>(0.5^2*B23)+(0.5^2*C24)+(2*0.5*0.5*B24)</f>
        <v>6.6722691741634855E-3</v>
      </c>
      <c r="N14">
        <f>(0.5*B4)+(0.5*C4)+(2*0.5*0.5*C23)</f>
        <v>9.781453211224736E-2</v>
      </c>
    </row>
    <row r="15" spans="1:14" x14ac:dyDescent="0.25">
      <c r="A15" t="s">
        <v>21</v>
      </c>
      <c r="B15" s="29">
        <v>1.2032190003709502E-3</v>
      </c>
      <c r="C15" s="29">
        <v>6.8145539672752071E-4</v>
      </c>
      <c r="D15" s="29">
        <v>8.7441947487986837E-4</v>
      </c>
      <c r="E15" s="29">
        <v>9.4284447279327152E-4</v>
      </c>
      <c r="F15" s="29">
        <f>VARP(Data!$F$2:$F$97)</f>
        <v>2.5968404514493471E-3</v>
      </c>
      <c r="G15" s="29"/>
      <c r="H15" s="29"/>
      <c r="I15" s="29"/>
      <c r="L15">
        <f>SQRT(L14)</f>
        <v>8.1683959099467532E-2</v>
      </c>
      <c r="N15">
        <f>SQRT(N14)</f>
        <v>0.31275314884465572</v>
      </c>
    </row>
    <row r="16" spans="1:14" x14ac:dyDescent="0.25">
      <c r="A16" t="s">
        <v>22</v>
      </c>
      <c r="B16" s="29">
        <v>6.821970455028703E-4</v>
      </c>
      <c r="C16" s="29">
        <v>4.7880956969333202E-4</v>
      </c>
      <c r="D16" s="29">
        <v>1.1656540386091134E-3</v>
      </c>
      <c r="E16" s="29">
        <v>1.0622793421190949E-3</v>
      </c>
      <c r="F16" s="29">
        <v>8.7404752000395502E-4</v>
      </c>
      <c r="G16" s="29">
        <f>VARP(Data!$G$2:$G$97)</f>
        <v>2.6669764303948766E-3</v>
      </c>
      <c r="H16" s="29"/>
      <c r="I16" s="29"/>
      <c r="L16">
        <f>SQRT(L15)</f>
        <v>0.28580405717810853</v>
      </c>
    </row>
    <row r="17" spans="1:9" x14ac:dyDescent="0.25">
      <c r="A17" t="s">
        <v>23</v>
      </c>
      <c r="B17" s="29">
        <v>4.1307074818316544E-3</v>
      </c>
      <c r="C17" s="29">
        <v>5.0034232302277838E-3</v>
      </c>
      <c r="D17" s="29">
        <v>3.0798747775743237E-3</v>
      </c>
      <c r="E17" s="29">
        <v>1.3401207512192821E-3</v>
      </c>
      <c r="F17" s="29">
        <v>8.3294543114108537E-4</v>
      </c>
      <c r="G17" s="29">
        <v>7.6431167696356956E-4</v>
      </c>
      <c r="H17" s="29">
        <f>VARP(Data!$H$2:$H$97)</f>
        <v>8.1896473274876147E-3</v>
      </c>
      <c r="I17" s="29"/>
    </row>
    <row r="18" spans="1:9" ht="15.75" thickBot="1" x14ac:dyDescent="0.3">
      <c r="A18" s="3" t="s">
        <v>24</v>
      </c>
      <c r="B18" s="30">
        <v>7.8578854779371018E-4</v>
      </c>
      <c r="C18" s="30">
        <v>4.1804613028323953E-3</v>
      </c>
      <c r="D18" s="30">
        <v>2.3040797634922717E-3</v>
      </c>
      <c r="E18" s="30">
        <v>5.9885967113812509E-5</v>
      </c>
      <c r="F18" s="30">
        <v>1.802815755147253E-4</v>
      </c>
      <c r="G18" s="30">
        <v>7.5812433217767913E-4</v>
      </c>
      <c r="H18" s="30">
        <v>3.7497625182861798E-3</v>
      </c>
      <c r="I18" s="30">
        <f>VARP(Data!$I$2:$I$97)</f>
        <v>1.4428858561933565E-2</v>
      </c>
    </row>
    <row r="20" spans="1:9" x14ac:dyDescent="0.25">
      <c r="A20" t="s">
        <v>25</v>
      </c>
      <c r="B20">
        <f>COUNT(Data!B2:B97)</f>
        <v>96</v>
      </c>
    </row>
    <row r="22" spans="1:9" x14ac:dyDescent="0.25">
      <c r="A22" t="s">
        <v>26</v>
      </c>
      <c r="B22" t="str">
        <f>B1</f>
        <v>XOM</v>
      </c>
      <c r="C22" t="str">
        <f t="shared" ref="C22:I22" si="2">C1</f>
        <v>GE</v>
      </c>
      <c r="D22" t="str">
        <f t="shared" si="2"/>
        <v>HD</v>
      </c>
      <c r="E22" t="str">
        <f t="shared" si="2"/>
        <v>JNJ</v>
      </c>
      <c r="F22" t="str">
        <f t="shared" si="2"/>
        <v>VZ</v>
      </c>
      <c r="G22" t="str">
        <f t="shared" si="2"/>
        <v>WMT</v>
      </c>
      <c r="H22" t="str">
        <f t="shared" si="2"/>
        <v>BAC</v>
      </c>
      <c r="I22" t="str">
        <f t="shared" si="2"/>
        <v>NFLX</v>
      </c>
    </row>
    <row r="23" spans="1:9" x14ac:dyDescent="0.25">
      <c r="A23" t="str" cm="1">
        <f t="array" ref="A23:A30">TRANSPOSE(B22:I22)</f>
        <v>XOM</v>
      </c>
      <c r="B23" s="23">
        <f>B11*$B$20/($B$20-1)</f>
        <v>7.1530230388685851E-3</v>
      </c>
      <c r="C23" s="23" cm="1">
        <f t="array" ref="C23:I23">TRANSPOSE(B24:B30)</f>
        <v>4.0423296223558672E-3</v>
      </c>
      <c r="D23" s="23">
        <v>1.6739094671237452E-3</v>
      </c>
      <c r="E23" s="23">
        <v>1.5096923236469046E-3</v>
      </c>
      <c r="F23" s="23">
        <v>1.2158844635327497E-3</v>
      </c>
      <c r="G23" s="23">
        <v>6.8937806703447946E-4</v>
      </c>
      <c r="H23" s="23">
        <v>4.1741886132193561E-3</v>
      </c>
      <c r="I23" s="23">
        <v>7.9406000619153879E-4</v>
      </c>
    </row>
    <row r="24" spans="1:9" x14ac:dyDescent="0.25">
      <c r="A24" t="str">
        <v>GE</v>
      </c>
      <c r="B24" s="23">
        <f>B12*$B$20/($B$20-1)</f>
        <v>4.0423296223558672E-3</v>
      </c>
      <c r="C24" s="23">
        <f>C12*$B$20/($B$20-1)</f>
        <v>1.1451394413073622E-2</v>
      </c>
      <c r="D24" s="23" cm="1">
        <f t="array" ref="D24:I24">TRANSPOSE(C25:C30)</f>
        <v>1.5333245441087784E-3</v>
      </c>
      <c r="E24" s="23">
        <v>3.2587411165652325E-4</v>
      </c>
      <c r="F24" s="23">
        <v>6.8862861142991564E-4</v>
      </c>
      <c r="G24" s="23">
        <v>4.8384967042694606E-4</v>
      </c>
      <c r="H24" s="23">
        <v>5.0560908431775495E-3</v>
      </c>
      <c r="I24" s="23">
        <v>4.2244661586516843E-3</v>
      </c>
    </row>
    <row r="25" spans="1:9" x14ac:dyDescent="0.25">
      <c r="A25" t="str">
        <v>HD</v>
      </c>
      <c r="B25" s="23">
        <f>B13*$B$20/($B$20-1)</f>
        <v>1.6739094671237452E-3</v>
      </c>
      <c r="C25" s="23">
        <f>C13*$B$20/($B$20-1)</f>
        <v>1.5333245441087784E-3</v>
      </c>
      <c r="D25" s="23">
        <f>D13*$B$20/($B$20-1)</f>
        <v>4.2014538275017416E-3</v>
      </c>
      <c r="E25" s="23" cm="1">
        <f t="array" ref="E25:I25">TRANSPOSE(D26:D30)</f>
        <v>1.1223169275120042E-3</v>
      </c>
      <c r="F25" s="23">
        <v>8.8362389040491955E-4</v>
      </c>
      <c r="G25" s="23">
        <v>1.1779240811207882E-3</v>
      </c>
      <c r="H25" s="23">
        <v>3.1122945120751061E-3</v>
      </c>
      <c r="I25" s="23">
        <v>2.3283332346869271E-3</v>
      </c>
    </row>
    <row r="26" spans="1:9" x14ac:dyDescent="0.25">
      <c r="A26" t="str">
        <v>JNJ</v>
      </c>
      <c r="B26" s="23">
        <f t="shared" ref="B26:G30" si="3">B14*$B$20/($B$20-1)</f>
        <v>1.5096923236469046E-3</v>
      </c>
      <c r="C26" s="23">
        <f t="shared" si="3"/>
        <v>3.2587411165652325E-4</v>
      </c>
      <c r="D26" s="23">
        <f t="shared" si="3"/>
        <v>1.1223169275120042E-3</v>
      </c>
      <c r="E26" s="23">
        <f>E14*$B$20/($B$20-1)</f>
        <v>2.1544120436293372E-3</v>
      </c>
      <c r="F26" s="23" cm="1">
        <f t="array" ref="F26:I26">TRANSPOSE(E27:E30)</f>
        <v>9.5276915145425334E-4</v>
      </c>
      <c r="G26" s="23">
        <v>1.0734612299308749E-3</v>
      </c>
      <c r="H26" s="23">
        <v>1.3542272854426428E-3</v>
      </c>
      <c r="I26" s="23">
        <v>6.0516345715010535E-5</v>
      </c>
    </row>
    <row r="27" spans="1:9" x14ac:dyDescent="0.25">
      <c r="A27" t="str">
        <v>VZ</v>
      </c>
      <c r="B27" s="23">
        <f t="shared" si="3"/>
        <v>1.2158844635327497E-3</v>
      </c>
      <c r="C27" s="23">
        <f t="shared" si="3"/>
        <v>6.8862861142991564E-4</v>
      </c>
      <c r="D27" s="23">
        <f t="shared" si="3"/>
        <v>8.8362389040491955E-4</v>
      </c>
      <c r="E27" s="23">
        <f t="shared" si="3"/>
        <v>9.5276915145425334E-4</v>
      </c>
      <c r="F27" s="23">
        <f>F15*$B$20/($B$20-1)</f>
        <v>2.6241756140961822E-3</v>
      </c>
      <c r="G27" s="23" cm="1">
        <f t="array" ref="G27:I27">TRANSPOSE(F28:F30)</f>
        <v>8.8324802021452298E-4</v>
      </c>
      <c r="H27" s="23">
        <v>8.417132777846757E-4</v>
      </c>
      <c r="I27" s="23">
        <v>1.8217927630961715E-4</v>
      </c>
    </row>
    <row r="28" spans="1:9" x14ac:dyDescent="0.25">
      <c r="A28" t="str">
        <v>WMT</v>
      </c>
      <c r="B28" s="23">
        <f t="shared" si="3"/>
        <v>6.8937806703447946E-4</v>
      </c>
      <c r="C28" s="23">
        <f t="shared" si="3"/>
        <v>4.8384967042694606E-4</v>
      </c>
      <c r="D28" s="23">
        <f t="shared" si="3"/>
        <v>1.1779240811207882E-3</v>
      </c>
      <c r="E28" s="23">
        <f t="shared" si="3"/>
        <v>1.0734612299308749E-3</v>
      </c>
      <c r="F28" s="23">
        <f t="shared" si="3"/>
        <v>8.8324802021452298E-4</v>
      </c>
      <c r="G28" s="23">
        <f>G16*$B$20/($B$20-1)</f>
        <v>2.695049866504296E-3</v>
      </c>
      <c r="H28" s="23" cm="1">
        <f t="array" ref="H28:I28">TRANSPOSE(G29:G30)</f>
        <v>7.7235706303687031E-4</v>
      </c>
      <c r="I28" s="23">
        <v>7.6610458830586516E-4</v>
      </c>
    </row>
    <row r="29" spans="1:9" x14ac:dyDescent="0.25">
      <c r="A29" t="str">
        <v>BAC</v>
      </c>
      <c r="B29" s="23">
        <f t="shared" si="3"/>
        <v>4.1741886132193561E-3</v>
      </c>
      <c r="C29" s="23">
        <f t="shared" si="3"/>
        <v>5.0560908431775495E-3</v>
      </c>
      <c r="D29" s="23">
        <f t="shared" si="3"/>
        <v>3.1122945120751061E-3</v>
      </c>
      <c r="E29" s="23">
        <f t="shared" si="3"/>
        <v>1.3542272854426428E-3</v>
      </c>
      <c r="F29" s="23">
        <f t="shared" si="3"/>
        <v>8.417132777846757E-4</v>
      </c>
      <c r="G29" s="23">
        <f t="shared" si="3"/>
        <v>7.7235706303687031E-4</v>
      </c>
      <c r="H29" s="23">
        <f>H17*$B$20/($B$20-1)</f>
        <v>8.2758541414611683E-3</v>
      </c>
      <c r="I29" s="23" cm="1">
        <f t="array" ref="I29">TRANSPOSE(H30)</f>
        <v>3.7892337026891923E-3</v>
      </c>
    </row>
    <row r="30" spans="1:9" x14ac:dyDescent="0.25">
      <c r="A30" t="str">
        <v>NFLX</v>
      </c>
      <c r="B30" s="23">
        <f t="shared" si="3"/>
        <v>7.9406000619153879E-4</v>
      </c>
      <c r="C30" s="23">
        <f>C18*$B$20/($B$20-1)</f>
        <v>4.2244661586516843E-3</v>
      </c>
      <c r="D30" s="23">
        <f t="shared" si="3"/>
        <v>2.3283332346869271E-3</v>
      </c>
      <c r="E30" s="23">
        <f t="shared" si="3"/>
        <v>6.0516345715010535E-5</v>
      </c>
      <c r="F30" s="23">
        <f t="shared" si="3"/>
        <v>1.8217927630961715E-4</v>
      </c>
      <c r="G30" s="23">
        <f t="shared" si="3"/>
        <v>7.6610458830586516E-4</v>
      </c>
      <c r="H30" s="23">
        <f>H18*$B$20/($B$20-1)</f>
        <v>3.7892337026891923E-3</v>
      </c>
      <c r="I30" s="23">
        <f>I18*$B$20/($B$20-1)</f>
        <v>1.4580741283638128E-2</v>
      </c>
    </row>
  </sheetData>
  <mergeCells count="8">
    <mergeCell ref="C1:C2"/>
    <mergeCell ref="B1:B2"/>
    <mergeCell ref="I1:I2"/>
    <mergeCell ref="H1:H2"/>
    <mergeCell ref="G1:G2"/>
    <mergeCell ref="F1:F2"/>
    <mergeCell ref="E1:E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J5" sqref="J5"/>
    </sheetView>
  </sheetViews>
  <sheetFormatPr defaultColWidth="9.140625" defaultRowHeight="15" x14ac:dyDescent="0.25"/>
  <cols>
    <col min="1" max="1" width="23" style="16" bestFit="1" customWidth="1"/>
    <col min="2" max="17" width="9.140625" style="16"/>
    <col min="18" max="18" width="24.140625" style="16" bestFit="1" customWidth="1"/>
    <col min="19" max="16384" width="9.140625" style="16"/>
  </cols>
  <sheetData>
    <row r="1" spans="1:10" x14ac:dyDescent="0.25">
      <c r="A1" s="50" t="s">
        <v>27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10</v>
      </c>
    </row>
    <row r="2" spans="1:10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 x14ac:dyDescent="0.25">
      <c r="A3" s="42" t="s">
        <v>28</v>
      </c>
      <c r="B3" s="26">
        <v>0.12007766602073389</v>
      </c>
      <c r="C3" s="26">
        <v>3.3527823225995235E-2</v>
      </c>
      <c r="D3" s="26">
        <v>0.16967872383247595</v>
      </c>
      <c r="E3" s="26">
        <v>9.2954967607511207E-2</v>
      </c>
      <c r="F3" s="26">
        <v>3.9439546038920525E-2</v>
      </c>
      <c r="G3" s="26">
        <v>0.15494871807095478</v>
      </c>
      <c r="H3" s="26">
        <v>0.15858180992654525</v>
      </c>
      <c r="I3" s="26">
        <v>0.27472815616056323</v>
      </c>
      <c r="J3" s="26">
        <v>0.11922758393500002</v>
      </c>
    </row>
    <row r="4" spans="1:10" x14ac:dyDescent="0.25">
      <c r="A4" s="42" t="s">
        <v>29</v>
      </c>
      <c r="B4" s="26">
        <v>0.29297828668081016</v>
      </c>
      <c r="C4" s="26">
        <v>0.37069763009342732</v>
      </c>
      <c r="D4" s="26">
        <v>0.22453829501895861</v>
      </c>
      <c r="E4" s="26">
        <v>0.1607885086800423</v>
      </c>
      <c r="F4" s="26">
        <v>0.1774545219743757</v>
      </c>
      <c r="G4" s="26">
        <v>0.17983491985165606</v>
      </c>
      <c r="H4" s="26">
        <v>0.31513528792811196</v>
      </c>
      <c r="I4" s="26">
        <v>0.41829283451149091</v>
      </c>
      <c r="J4" s="26">
        <v>0.16054033187162262</v>
      </c>
    </row>
    <row r="5" spans="1:10" x14ac:dyDescent="0.25">
      <c r="A5" s="66" t="s">
        <v>15</v>
      </c>
      <c r="B5" s="67">
        <v>2.0644321750496321E-3</v>
      </c>
      <c r="C5" s="67">
        <v>2.6262887441155193E-3</v>
      </c>
      <c r="D5" s="67">
        <v>2.2050009569239389E-3</v>
      </c>
      <c r="E5" s="67">
        <v>1.1633490881495013E-3</v>
      </c>
      <c r="F5" s="67">
        <v>8.5645848912966618E-4</v>
      </c>
      <c r="G5" s="67">
        <v>1.0360901414351341E-3</v>
      </c>
      <c r="H5" s="67">
        <v>3.108125882420923E-3</v>
      </c>
      <c r="I5" s="67">
        <v>2.8166262212191632E-3</v>
      </c>
      <c r="J5" s="67">
        <v>2.1477665131208953E-3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0940-DB49-4D26-93AA-8DFF88B14F6B}">
  <dimension ref="A1:O28"/>
  <sheetViews>
    <sheetView topLeftCell="A4" workbookViewId="0">
      <selection activeCell="B28" sqref="B28"/>
    </sheetView>
  </sheetViews>
  <sheetFormatPr defaultColWidth="8.7109375" defaultRowHeight="15" x14ac:dyDescent="0.25"/>
  <cols>
    <col min="1" max="1" width="34.140625" bestFit="1" customWidth="1"/>
    <col min="2" max="2" width="12.42578125" bestFit="1" customWidth="1"/>
    <col min="3" max="3" width="8.140625" bestFit="1" customWidth="1"/>
    <col min="4" max="4" width="8.28515625" bestFit="1" customWidth="1"/>
    <col min="5" max="5" width="8.5703125" bestFit="1" customWidth="1"/>
    <col min="6" max="6" width="8" bestFit="1" customWidth="1"/>
    <col min="7" max="7" width="10.5703125" bestFit="1" customWidth="1"/>
    <col min="8" max="8" width="9.28515625" bestFit="1" customWidth="1"/>
    <col min="9" max="9" width="10.140625" bestFit="1" customWidth="1"/>
    <col min="10" max="10" width="12.7109375" bestFit="1" customWidth="1"/>
    <col min="15" max="15" width="11" bestFit="1" customWidth="1"/>
  </cols>
  <sheetData>
    <row r="1" spans="1:13" x14ac:dyDescent="0.25">
      <c r="A1" s="43"/>
      <c r="B1" s="43" t="s">
        <v>30</v>
      </c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A2" s="43"/>
      <c r="B2" s="41" t="s">
        <v>31</v>
      </c>
      <c r="C2" s="41" t="s">
        <v>32</v>
      </c>
      <c r="D2" s="41" t="s">
        <v>33</v>
      </c>
      <c r="E2" s="41" t="s">
        <v>34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9</v>
      </c>
      <c r="K2" s="41" t="s">
        <v>10</v>
      </c>
    </row>
    <row r="3" spans="1:13" x14ac:dyDescent="0.25">
      <c r="A3" s="43" t="s">
        <v>39</v>
      </c>
      <c r="B3" s="15">
        <f>Inputs!B3</f>
        <v>1.000647216839449E-2</v>
      </c>
      <c r="C3" s="15">
        <f>Inputs!C3</f>
        <v>2.7939852688329361E-3</v>
      </c>
      <c r="D3" s="15">
        <f>Inputs!D3</f>
        <v>1.4139893652706329E-2</v>
      </c>
      <c r="E3" s="15">
        <f>Inputs!E3</f>
        <v>7.7462473006259342E-3</v>
      </c>
      <c r="F3" s="15">
        <f>Inputs!F3</f>
        <v>3.2866288365767105E-3</v>
      </c>
      <c r="G3" s="15">
        <f>Inputs!G3</f>
        <v>1.2912393172579565E-2</v>
      </c>
      <c r="H3" s="15">
        <f>Inputs!H3</f>
        <v>1.3215150827212105E-2</v>
      </c>
      <c r="I3" s="15">
        <f>Inputs!I3</f>
        <v>2.289401301338027E-2</v>
      </c>
      <c r="J3" s="21">
        <f>AVERAGE(Data!J2:J97)</f>
        <v>1.2145833333333338E-3</v>
      </c>
      <c r="K3">
        <f>AVERAGE(Data!K2:K97)</f>
        <v>9.9356319945833344E-3</v>
      </c>
    </row>
    <row r="4" spans="1:13" x14ac:dyDescent="0.25">
      <c r="A4" s="43" t="s">
        <v>40</v>
      </c>
      <c r="B4" s="15">
        <f>Inputs!B4</f>
        <v>8.4575546340940555E-2</v>
      </c>
      <c r="C4" s="15">
        <f>Inputs!C4</f>
        <v>0.10701118826119829</v>
      </c>
      <c r="D4" s="15">
        <f>Inputs!D4</f>
        <v>6.4818622536287687E-2</v>
      </c>
      <c r="E4" s="15">
        <f>Inputs!E4</f>
        <v>4.641564438451045E-2</v>
      </c>
      <c r="F4" s="15">
        <f>Inputs!F4</f>
        <v>5.1226708015411085E-2</v>
      </c>
      <c r="G4" s="15">
        <f>Inputs!G4</f>
        <v>5.1913869693024202E-2</v>
      </c>
      <c r="H4" s="15">
        <f>Inputs!H4</f>
        <v>9.0971721658222843E-2</v>
      </c>
      <c r="I4" s="15">
        <f>Inputs!I4</f>
        <v>0.12075074030265043</v>
      </c>
      <c r="J4" s="21">
        <f>_xlfn.STDEV.S(Data!J2:J97)</f>
        <v>1.3216400630051851E-3</v>
      </c>
      <c r="K4">
        <f>_xlfn.STDEV.S(Data!K2:K97)</f>
        <v>4.6344001910936586E-2</v>
      </c>
    </row>
    <row r="5" spans="1:13" x14ac:dyDescent="0.25">
      <c r="A5" s="43"/>
      <c r="B5" s="80" t="s">
        <v>1</v>
      </c>
      <c r="C5" s="80" t="s">
        <v>2</v>
      </c>
      <c r="D5" s="80" t="s">
        <v>3</v>
      </c>
      <c r="E5" s="80" t="s">
        <v>4</v>
      </c>
      <c r="F5" s="80" t="s">
        <v>5</v>
      </c>
      <c r="G5" s="80" t="s">
        <v>6</v>
      </c>
      <c r="H5" s="80" t="s">
        <v>7</v>
      </c>
      <c r="I5" s="80" t="s">
        <v>8</v>
      </c>
      <c r="J5" s="80" t="s">
        <v>41</v>
      </c>
      <c r="K5" s="43"/>
    </row>
    <row r="6" spans="1:13" ht="15.75" thickBot="1" x14ac:dyDescent="0.3">
      <c r="A6" s="43"/>
      <c r="B6" s="81"/>
      <c r="C6" s="81"/>
      <c r="D6" s="81"/>
      <c r="E6" s="81"/>
      <c r="F6" s="81"/>
      <c r="G6" s="81"/>
      <c r="H6" s="81"/>
      <c r="I6" s="81"/>
      <c r="J6" s="81"/>
      <c r="K6" s="43"/>
    </row>
    <row r="7" spans="1:13" x14ac:dyDescent="0.25">
      <c r="A7" s="43" t="s">
        <v>42</v>
      </c>
      <c r="B7">
        <v>0.125</v>
      </c>
      <c r="C7">
        <v>0.125</v>
      </c>
      <c r="D7">
        <v>0.125</v>
      </c>
      <c r="E7">
        <v>0.125</v>
      </c>
      <c r="F7">
        <v>0.125</v>
      </c>
      <c r="G7">
        <v>0.125</v>
      </c>
      <c r="H7">
        <v>0.125</v>
      </c>
      <c r="I7">
        <v>0.125</v>
      </c>
      <c r="J7">
        <f>SUM(B7:I7)</f>
        <v>1</v>
      </c>
    </row>
    <row r="8" spans="1:13" x14ac:dyDescent="0.25">
      <c r="A8" s="43"/>
    </row>
    <row r="9" spans="1:13" x14ac:dyDescent="0.25">
      <c r="A9" s="42" t="s">
        <v>43</v>
      </c>
      <c r="B9" s="19" t="s">
        <v>41</v>
      </c>
      <c r="M9">
        <f>K3*12</f>
        <v>0.11922758393500002</v>
      </c>
    </row>
    <row r="10" spans="1:13" x14ac:dyDescent="0.25">
      <c r="A10" s="43" t="s">
        <v>44</v>
      </c>
      <c r="B10" s="20">
        <f>AVERAGE(B3:I3)</f>
        <v>1.0874348030038542E-2</v>
      </c>
    </row>
    <row r="11" spans="1:13" x14ac:dyDescent="0.25">
      <c r="A11" s="43" t="s">
        <v>45</v>
      </c>
      <c r="B11" s="58" cm="1">
        <f t="array" ref="B11">SQRT(MMULT(MMULT(B7:I7,Inputs!B23:I30),TRANSPOSE(B7:I7)))</f>
        <v>4.7526318762484726E-2</v>
      </c>
    </row>
    <row r="12" spans="1:13" x14ac:dyDescent="0.25">
      <c r="A12" s="43" t="s">
        <v>46</v>
      </c>
      <c r="B12" s="89">
        <f>B27/12</f>
        <v>2.5000000000000001E-3</v>
      </c>
    </row>
    <row r="13" spans="1:13" x14ac:dyDescent="0.25">
      <c r="A13" s="43" t="s">
        <v>47</v>
      </c>
      <c r="B13" s="59">
        <f>(B10-B12)/B11</f>
        <v>0.176204432577448</v>
      </c>
    </row>
    <row r="14" spans="1:13" x14ac:dyDescent="0.25">
      <c r="A14" s="43"/>
    </row>
    <row r="15" spans="1:13" x14ac:dyDescent="0.25">
      <c r="A15" s="43"/>
      <c r="B15" s="43" t="s">
        <v>48</v>
      </c>
      <c r="C15" s="43"/>
      <c r="D15" s="43"/>
      <c r="E15" s="43"/>
      <c r="F15" s="43"/>
      <c r="G15" s="43"/>
      <c r="H15" s="43"/>
      <c r="I15" s="43"/>
      <c r="J15" s="43"/>
      <c r="K15" s="43"/>
    </row>
    <row r="16" spans="1:13" x14ac:dyDescent="0.25">
      <c r="A16" s="43"/>
      <c r="B16" s="41" t="s">
        <v>31</v>
      </c>
      <c r="C16" s="41" t="s">
        <v>32</v>
      </c>
      <c r="D16" s="41" t="s">
        <v>33</v>
      </c>
      <c r="E16" s="41" t="s">
        <v>34</v>
      </c>
      <c r="F16" s="41" t="s">
        <v>35</v>
      </c>
      <c r="G16" s="41" t="s">
        <v>36</v>
      </c>
      <c r="H16" s="41" t="s">
        <v>37</v>
      </c>
      <c r="I16" s="41" t="s">
        <v>38</v>
      </c>
      <c r="J16" s="41" t="s">
        <v>9</v>
      </c>
      <c r="K16" s="41" t="s">
        <v>10</v>
      </c>
    </row>
    <row r="17" spans="1:15" x14ac:dyDescent="0.25">
      <c r="A17" s="43" t="s">
        <v>28</v>
      </c>
      <c r="B17">
        <f>B3*12</f>
        <v>0.12007766602073389</v>
      </c>
      <c r="C17">
        <f t="shared" ref="C17:K17" si="0">C3*12</f>
        <v>3.3527823225995235E-2</v>
      </c>
      <c r="D17">
        <f t="shared" si="0"/>
        <v>0.16967872383247595</v>
      </c>
      <c r="E17">
        <f t="shared" si="0"/>
        <v>9.2954967607511207E-2</v>
      </c>
      <c r="F17">
        <f t="shared" si="0"/>
        <v>3.9439546038920525E-2</v>
      </c>
      <c r="G17">
        <f t="shared" si="0"/>
        <v>0.15494871807095478</v>
      </c>
      <c r="H17">
        <f t="shared" si="0"/>
        <v>0.15858180992654525</v>
      </c>
      <c r="I17">
        <f t="shared" si="0"/>
        <v>0.27472815616056323</v>
      </c>
      <c r="J17" s="21">
        <f t="shared" si="0"/>
        <v>1.4575000000000005E-2</v>
      </c>
      <c r="K17">
        <f t="shared" si="0"/>
        <v>0.11922758393500002</v>
      </c>
    </row>
    <row r="18" spans="1:15" x14ac:dyDescent="0.25">
      <c r="A18" s="62" t="s">
        <v>49</v>
      </c>
      <c r="B18" s="21">
        <f>B4*SQRT(12)</f>
        <v>0.29297828668081016</v>
      </c>
      <c r="C18" s="21">
        <f t="shared" ref="C18:J18" si="1">C4*SQRT(12)</f>
        <v>0.37069763009342732</v>
      </c>
      <c r="D18" s="21">
        <f t="shared" si="1"/>
        <v>0.22453829501895861</v>
      </c>
      <c r="E18" s="21">
        <f t="shared" si="1"/>
        <v>0.1607885086800423</v>
      </c>
      <c r="F18" s="21">
        <f t="shared" si="1"/>
        <v>0.1774545219743757</v>
      </c>
      <c r="G18" s="21">
        <f t="shared" si="1"/>
        <v>0.17983491985165606</v>
      </c>
      <c r="H18" s="21">
        <f t="shared" si="1"/>
        <v>0.31513528792811196</v>
      </c>
      <c r="I18" s="21">
        <f t="shared" si="1"/>
        <v>0.41829283451149091</v>
      </c>
      <c r="J18" s="21">
        <f t="shared" si="1"/>
        <v>4.5782954768870251E-3</v>
      </c>
      <c r="K18" s="21">
        <f>K4*SQRT(12)</f>
        <v>0.16054033187162262</v>
      </c>
    </row>
    <row r="19" spans="1:15" x14ac:dyDescent="0.25">
      <c r="A19" s="62" t="s">
        <v>15</v>
      </c>
      <c r="B19" s="21">
        <f>_xlfn.COVARIANCE.S(Data!B2:B97, Data!$K$2:$K$97)</f>
        <v>2.0644321750496321E-3</v>
      </c>
      <c r="C19" s="21">
        <f>_xlfn.COVARIANCE.S(Data!C2:C97, Data!$K$2:$K$97)</f>
        <v>2.6262887441155193E-3</v>
      </c>
      <c r="D19" s="21">
        <f>_xlfn.COVARIANCE.S(Data!D2:D97, Data!$K$2:$K$97)</f>
        <v>2.2050009569239389E-3</v>
      </c>
      <c r="E19" s="21">
        <f>_xlfn.COVARIANCE.S(Data!E2:E97, Data!$K$2:$K$97)</f>
        <v>1.1633490881495013E-3</v>
      </c>
      <c r="F19" s="21">
        <f>_xlfn.COVARIANCE.S(Data!F2:F97, Data!$K$2:$K$97)</f>
        <v>8.5645848912966618E-4</v>
      </c>
      <c r="G19" s="21">
        <f>_xlfn.COVARIANCE.S(Data!G2:G97, Data!$K$2:$K$97)</f>
        <v>1.0360901414351341E-3</v>
      </c>
      <c r="H19" s="21">
        <f>_xlfn.COVARIANCE.S(Data!H2:H97, Data!$K$2:$K$97)</f>
        <v>3.108125882420923E-3</v>
      </c>
      <c r="I19" s="21">
        <f>_xlfn.COVARIANCE.S(Data!I2:I97, Data!$K$2:$K$97)</f>
        <v>2.8166262212191632E-3</v>
      </c>
      <c r="J19" s="21">
        <f>_xlfn.COVARIANCE.S(Data!J2:J97, Data!$K$2:$K$97)</f>
        <v>-1.2685139515201738E-6</v>
      </c>
      <c r="K19" s="21">
        <f>_xlfn.COVARIANCE.S(Data!K2:K97, Data!$K$2:$K$97)</f>
        <v>2.1477665131208953E-3</v>
      </c>
    </row>
    <row r="20" spans="1:15" x14ac:dyDescent="0.25">
      <c r="A20" s="43"/>
      <c r="B20" s="80" t="s">
        <v>1</v>
      </c>
      <c r="C20" s="80" t="s">
        <v>2</v>
      </c>
      <c r="D20" s="80" t="s">
        <v>3</v>
      </c>
      <c r="E20" s="80" t="s">
        <v>4</v>
      </c>
      <c r="F20" s="80" t="s">
        <v>5</v>
      </c>
      <c r="G20" s="80" t="s">
        <v>6</v>
      </c>
      <c r="H20" s="80" t="s">
        <v>7</v>
      </c>
      <c r="I20" s="80" t="s">
        <v>8</v>
      </c>
      <c r="J20" s="80" t="s">
        <v>41</v>
      </c>
      <c r="K20" s="43"/>
    </row>
    <row r="21" spans="1:15" x14ac:dyDescent="0.25">
      <c r="A21" s="43"/>
      <c r="B21" s="80"/>
      <c r="C21" s="80"/>
      <c r="D21" s="80"/>
      <c r="E21" s="80"/>
      <c r="F21" s="80"/>
      <c r="G21" s="80"/>
      <c r="H21" s="80"/>
      <c r="I21" s="80"/>
      <c r="J21" s="80"/>
      <c r="K21" s="43"/>
    </row>
    <row r="22" spans="1:15" x14ac:dyDescent="0.25">
      <c r="A22" s="42" t="s">
        <v>42</v>
      </c>
      <c r="B22">
        <v>0.125</v>
      </c>
      <c r="C22">
        <v>0.125</v>
      </c>
      <c r="D22">
        <v>0.125</v>
      </c>
      <c r="E22">
        <v>0.125</v>
      </c>
      <c r="F22">
        <v>0.125</v>
      </c>
      <c r="G22">
        <v>0.125</v>
      </c>
      <c r="H22">
        <v>0.125</v>
      </c>
      <c r="I22">
        <v>0.125</v>
      </c>
      <c r="J22">
        <f>SUM(B22:I22)</f>
        <v>1</v>
      </c>
      <c r="O22">
        <f>B11*SQRT(12)</f>
        <v>0.1646359975866751</v>
      </c>
    </row>
    <row r="23" spans="1:15" x14ac:dyDescent="0.25">
      <c r="A23" s="42"/>
      <c r="O23">
        <f>0.0022587509751133*SQRT(12)</f>
        <v>7.8245429010839595E-3</v>
      </c>
    </row>
    <row r="24" spans="1:15" x14ac:dyDescent="0.25">
      <c r="A24" s="42"/>
      <c r="B24" s="19" t="s">
        <v>48</v>
      </c>
    </row>
    <row r="25" spans="1:15" x14ac:dyDescent="0.25">
      <c r="A25" s="42" t="s">
        <v>28</v>
      </c>
      <c r="B25" s="20">
        <f>AVERAGE(B17:I17)</f>
        <v>0.13049217636046251</v>
      </c>
    </row>
    <row r="26" spans="1:15" x14ac:dyDescent="0.25">
      <c r="A26" s="42" t="s">
        <v>45</v>
      </c>
      <c r="B26" s="58">
        <f>B11*SQRT(12)</f>
        <v>0.1646359975866751</v>
      </c>
    </row>
    <row r="27" spans="1:15" x14ac:dyDescent="0.25">
      <c r="A27" s="42" t="s">
        <v>46</v>
      </c>
      <c r="B27" s="15">
        <v>0.03</v>
      </c>
      <c r="C27" s="15"/>
    </row>
    <row r="28" spans="1:15" x14ac:dyDescent="0.25">
      <c r="A28" s="42" t="s">
        <v>47</v>
      </c>
      <c r="B28" s="59">
        <f>(B25-B27)/B26</f>
        <v>0.61039005948596925</v>
      </c>
    </row>
  </sheetData>
  <mergeCells count="18">
    <mergeCell ref="E5:E6"/>
    <mergeCell ref="D5:D6"/>
    <mergeCell ref="J20:J21"/>
    <mergeCell ref="I20:I21"/>
    <mergeCell ref="H20:H21"/>
    <mergeCell ref="G20:G21"/>
    <mergeCell ref="F20:F21"/>
    <mergeCell ref="E20:E21"/>
    <mergeCell ref="J5:J6"/>
    <mergeCell ref="I5:I6"/>
    <mergeCell ref="H5:H6"/>
    <mergeCell ref="G5:G6"/>
    <mergeCell ref="F5:F6"/>
    <mergeCell ref="C5:C6"/>
    <mergeCell ref="B5:B6"/>
    <mergeCell ref="D20:D21"/>
    <mergeCell ref="C20:C21"/>
    <mergeCell ref="B20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>
      <selection activeCell="N14" sqref="N14"/>
    </sheetView>
  </sheetViews>
  <sheetFormatPr defaultColWidth="8.7109375" defaultRowHeight="15" x14ac:dyDescent="0.25"/>
  <cols>
    <col min="1" max="1" width="34.28515625" bestFit="1" customWidth="1"/>
    <col min="2" max="2" width="12" bestFit="1" customWidth="1"/>
    <col min="3" max="3" width="13.42578125" customWidth="1"/>
    <col min="4" max="9" width="12" bestFit="1" customWidth="1"/>
  </cols>
  <sheetData>
    <row r="1" spans="1:10" x14ac:dyDescent="0.25">
      <c r="A1" s="39" t="s">
        <v>30</v>
      </c>
      <c r="B1" s="44"/>
      <c r="C1" s="44"/>
      <c r="D1" s="44"/>
      <c r="E1" s="44"/>
      <c r="F1" s="38"/>
      <c r="G1" s="39" t="s">
        <v>50</v>
      </c>
      <c r="H1" s="39">
        <f>COUNTA(B3:I3)</f>
        <v>8</v>
      </c>
      <c r="I1" s="38" t="s">
        <v>51</v>
      </c>
      <c r="J1" s="38">
        <f>1/H1</f>
        <v>0.125</v>
      </c>
    </row>
    <row r="2" spans="1:10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x14ac:dyDescent="0.25">
      <c r="A3" s="42"/>
      <c r="B3" s="41" t="s">
        <v>31</v>
      </c>
      <c r="C3" s="41" t="s">
        <v>32</v>
      </c>
      <c r="D3" s="41" t="s">
        <v>33</v>
      </c>
      <c r="E3" s="41" t="s">
        <v>34</v>
      </c>
      <c r="F3" s="41" t="s">
        <v>35</v>
      </c>
      <c r="G3" s="41" t="s">
        <v>36</v>
      </c>
      <c r="H3" s="41" t="s">
        <v>37</v>
      </c>
      <c r="I3" s="41" t="s">
        <v>38</v>
      </c>
      <c r="J3" s="41" t="s">
        <v>52</v>
      </c>
    </row>
    <row r="4" spans="1:10" x14ac:dyDescent="0.25">
      <c r="A4" s="40" t="s">
        <v>39</v>
      </c>
      <c r="B4" s="23">
        <f>Inputs!B3</f>
        <v>1.000647216839449E-2</v>
      </c>
      <c r="C4" s="23">
        <f>Inputs!C3</f>
        <v>2.7939852688329361E-3</v>
      </c>
      <c r="D4" s="23">
        <f>Inputs!D3</f>
        <v>1.4139893652706329E-2</v>
      </c>
      <c r="E4" s="23">
        <f>Inputs!E3</f>
        <v>7.7462473006259342E-3</v>
      </c>
      <c r="F4" s="23">
        <f>Inputs!F3</f>
        <v>3.2866288365767105E-3</v>
      </c>
      <c r="G4" s="23">
        <f>Inputs!G3</f>
        <v>1.2912393172579565E-2</v>
      </c>
      <c r="H4" s="23">
        <f>Inputs!H3</f>
        <v>1.3215150827212105E-2</v>
      </c>
      <c r="I4" s="23">
        <f>Inputs!I3</f>
        <v>2.289401301338027E-2</v>
      </c>
      <c r="J4" s="53"/>
    </row>
    <row r="5" spans="1:10" x14ac:dyDescent="0.25">
      <c r="A5" s="40" t="s">
        <v>40</v>
      </c>
      <c r="B5" s="23">
        <f>Inputs!B4</f>
        <v>8.4575546340940555E-2</v>
      </c>
      <c r="C5" s="23">
        <f>Inputs!C4</f>
        <v>0.10701118826119829</v>
      </c>
      <c r="D5" s="23">
        <f>Inputs!D4</f>
        <v>6.4818622536287687E-2</v>
      </c>
      <c r="E5" s="23">
        <f>Inputs!E4</f>
        <v>4.641564438451045E-2</v>
      </c>
      <c r="F5" s="23">
        <f>Inputs!F4</f>
        <v>5.1226708015411085E-2</v>
      </c>
      <c r="G5" s="23">
        <f>Inputs!G4</f>
        <v>5.1913869693024202E-2</v>
      </c>
      <c r="H5" s="23">
        <f>Inputs!H4</f>
        <v>9.0971721658222843E-2</v>
      </c>
      <c r="I5" s="23">
        <f>Inputs!I4</f>
        <v>0.12075074030265043</v>
      </c>
      <c r="J5" s="53"/>
    </row>
    <row r="6" spans="1:10" x14ac:dyDescent="0.25">
      <c r="A6" s="40" t="s">
        <v>42</v>
      </c>
      <c r="B6" s="54">
        <v>6.8065018495216704E-3</v>
      </c>
      <c r="C6" s="54">
        <v>6.7506951673828017E-2</v>
      </c>
      <c r="D6" s="54">
        <v>8.0151284773561912E-2</v>
      </c>
      <c r="E6" s="54">
        <v>0.36373043804934629</v>
      </c>
      <c r="F6" s="54">
        <v>0.26524288030064525</v>
      </c>
      <c r="G6" s="54">
        <v>0.20803383829054695</v>
      </c>
      <c r="H6" s="54">
        <v>-4.5604673629380192E-2</v>
      </c>
      <c r="I6" s="54">
        <v>5.4132779014601028E-2</v>
      </c>
      <c r="J6" s="53">
        <f>SUM(B6:I6)</f>
        <v>1.000000000322671</v>
      </c>
    </row>
    <row r="7" spans="1:10" x14ac:dyDescent="0.25">
      <c r="A7" s="40" t="s">
        <v>53</v>
      </c>
      <c r="B7" s="23">
        <f>B6*B4</f>
        <v>6.8109071321364214E-5</v>
      </c>
      <c r="C7" s="23">
        <f t="shared" ref="C7:I7" si="0">C6*C4</f>
        <v>1.8861342852049238E-4</v>
      </c>
      <c r="D7" s="23">
        <f t="shared" si="0"/>
        <v>1.1333306428259456E-3</v>
      </c>
      <c r="E7" s="23">
        <f t="shared" si="0"/>
        <v>2.8175459238952375E-3</v>
      </c>
      <c r="F7" s="23">
        <f t="shared" si="0"/>
        <v>8.7175489909276538E-4</v>
      </c>
      <c r="G7" s="23">
        <f t="shared" si="0"/>
        <v>2.6862147132083796E-3</v>
      </c>
      <c r="H7" s="23">
        <f t="shared" si="0"/>
        <v>-6.0267264043804174E-4</v>
      </c>
      <c r="I7" s="23">
        <f t="shared" si="0"/>
        <v>1.2393165472107143E-3</v>
      </c>
      <c r="J7" s="23">
        <f>SUM(B7:I7)</f>
        <v>8.4022125856368576E-3</v>
      </c>
    </row>
    <row r="9" spans="1:10" x14ac:dyDescent="0.25">
      <c r="A9" s="40" t="str" cm="1">
        <f t="array" ref="A9:I17">Inputs!A22:I30</f>
        <v>Samle covariance matrix</v>
      </c>
      <c r="B9" t="str">
        <v>XOM</v>
      </c>
      <c r="C9" t="str">
        <v>GE</v>
      </c>
      <c r="D9" t="str">
        <v>HD</v>
      </c>
      <c r="E9" t="str">
        <v>JNJ</v>
      </c>
      <c r="F9" t="str">
        <v>VZ</v>
      </c>
      <c r="G9" t="str">
        <v>WMT</v>
      </c>
      <c r="H9" t="str">
        <v>BAC</v>
      </c>
      <c r="I9" t="str">
        <v>NFLX</v>
      </c>
    </row>
    <row r="10" spans="1:10" x14ac:dyDescent="0.25">
      <c r="A10" t="str">
        <v>XOM</v>
      </c>
      <c r="B10" s="23">
        <v>7.1530230388685851E-3</v>
      </c>
      <c r="C10" s="23">
        <v>4.0423296223558672E-3</v>
      </c>
      <c r="D10" s="23">
        <v>1.6739094671237452E-3</v>
      </c>
      <c r="E10" s="23">
        <v>1.5096923236469046E-3</v>
      </c>
      <c r="F10" s="23">
        <v>1.2158844635327497E-3</v>
      </c>
      <c r="G10" s="23">
        <v>6.8937806703447946E-4</v>
      </c>
      <c r="H10" s="23">
        <v>4.1741886132193561E-3</v>
      </c>
      <c r="I10" s="23">
        <v>7.9406000619153879E-4</v>
      </c>
    </row>
    <row r="11" spans="1:10" x14ac:dyDescent="0.25">
      <c r="A11" t="str">
        <v>GE</v>
      </c>
      <c r="B11" s="23">
        <v>4.0423296223558672E-3</v>
      </c>
      <c r="C11" s="23">
        <v>1.1451394413073622E-2</v>
      </c>
      <c r="D11" s="23">
        <v>1.5333245441087784E-3</v>
      </c>
      <c r="E11" s="23">
        <v>3.2587411165652325E-4</v>
      </c>
      <c r="F11" s="23">
        <v>6.8862861142991564E-4</v>
      </c>
      <c r="G11" s="23">
        <v>4.8384967042694606E-4</v>
      </c>
      <c r="H11" s="23">
        <v>5.0560908431775495E-3</v>
      </c>
      <c r="I11" s="23">
        <v>4.2244661586516843E-3</v>
      </c>
    </row>
    <row r="12" spans="1:10" x14ac:dyDescent="0.25">
      <c r="A12" t="str">
        <v>HD</v>
      </c>
      <c r="B12" s="23">
        <v>1.6739094671237452E-3</v>
      </c>
      <c r="C12" s="23">
        <v>1.5333245441087784E-3</v>
      </c>
      <c r="D12" s="23">
        <v>4.2014538275017416E-3</v>
      </c>
      <c r="E12" s="23">
        <v>1.1223169275120042E-3</v>
      </c>
      <c r="F12" s="23">
        <v>8.8362389040491955E-4</v>
      </c>
      <c r="G12" s="23">
        <v>1.1779240811207882E-3</v>
      </c>
      <c r="H12" s="23">
        <v>3.1122945120751061E-3</v>
      </c>
      <c r="I12" s="23">
        <v>2.3283332346869271E-3</v>
      </c>
    </row>
    <row r="13" spans="1:10" x14ac:dyDescent="0.25">
      <c r="A13" t="str">
        <v>JNJ</v>
      </c>
      <c r="B13" s="23">
        <v>1.5096923236469046E-3</v>
      </c>
      <c r="C13" s="23">
        <v>3.2587411165652325E-4</v>
      </c>
      <c r="D13" s="23">
        <v>1.1223169275120042E-3</v>
      </c>
      <c r="E13" s="23">
        <v>2.1544120436293372E-3</v>
      </c>
      <c r="F13" s="23">
        <v>9.5276915145425334E-4</v>
      </c>
      <c r="G13" s="23">
        <v>1.0734612299308749E-3</v>
      </c>
      <c r="H13" s="23">
        <v>1.3542272854426428E-3</v>
      </c>
      <c r="I13" s="23">
        <v>6.0516345715010535E-5</v>
      </c>
    </row>
    <row r="14" spans="1:10" x14ac:dyDescent="0.25">
      <c r="A14" t="str">
        <v>VZ</v>
      </c>
      <c r="B14" s="23">
        <v>1.2158844635327497E-3</v>
      </c>
      <c r="C14" s="23">
        <v>6.8862861142991564E-4</v>
      </c>
      <c r="D14" s="23">
        <v>8.8362389040491955E-4</v>
      </c>
      <c r="E14" s="23">
        <v>9.5276915145425334E-4</v>
      </c>
      <c r="F14" s="23">
        <v>2.6241756140961822E-3</v>
      </c>
      <c r="G14" s="23">
        <v>8.8324802021452298E-4</v>
      </c>
      <c r="H14" s="23">
        <v>8.417132777846757E-4</v>
      </c>
      <c r="I14" s="23">
        <v>1.8217927630961715E-4</v>
      </c>
    </row>
    <row r="15" spans="1:10" x14ac:dyDescent="0.25">
      <c r="A15" t="str">
        <v>WMT</v>
      </c>
      <c r="B15" s="23">
        <v>6.8937806703447946E-4</v>
      </c>
      <c r="C15" s="23">
        <v>4.8384967042694606E-4</v>
      </c>
      <c r="D15" s="23">
        <v>1.1779240811207882E-3</v>
      </c>
      <c r="E15" s="23">
        <v>1.0734612299308749E-3</v>
      </c>
      <c r="F15" s="23">
        <v>8.8324802021452298E-4</v>
      </c>
      <c r="G15" s="23">
        <v>2.695049866504296E-3</v>
      </c>
      <c r="H15" s="23">
        <v>7.7235706303687031E-4</v>
      </c>
      <c r="I15" s="23">
        <v>7.6610458830586516E-4</v>
      </c>
    </row>
    <row r="16" spans="1:10" x14ac:dyDescent="0.25">
      <c r="A16" t="str">
        <v>BAC</v>
      </c>
      <c r="B16" s="23">
        <v>4.1741886132193561E-3</v>
      </c>
      <c r="C16" s="23">
        <v>5.0560908431775495E-3</v>
      </c>
      <c r="D16" s="23">
        <v>3.1122945120751061E-3</v>
      </c>
      <c r="E16" s="23">
        <v>1.3542272854426428E-3</v>
      </c>
      <c r="F16" s="23">
        <v>8.417132777846757E-4</v>
      </c>
      <c r="G16" s="23">
        <v>7.7235706303687031E-4</v>
      </c>
      <c r="H16" s="23">
        <v>8.2758541414611683E-3</v>
      </c>
      <c r="I16" s="23">
        <v>3.7892337026891923E-3</v>
      </c>
    </row>
    <row r="17" spans="1:9" x14ac:dyDescent="0.25">
      <c r="A17" t="str">
        <v>NFLX</v>
      </c>
      <c r="B17" s="23">
        <v>7.9406000619153879E-4</v>
      </c>
      <c r="C17" s="23">
        <v>4.2244661586516843E-3</v>
      </c>
      <c r="D17" s="23">
        <v>2.3283332346869271E-3</v>
      </c>
      <c r="E17" s="23">
        <v>6.0516345715010535E-5</v>
      </c>
      <c r="F17" s="23">
        <v>1.8217927630961715E-4</v>
      </c>
      <c r="G17" s="23">
        <v>7.6610458830586516E-4</v>
      </c>
      <c r="H17" s="23">
        <v>3.7892337026891923E-3</v>
      </c>
      <c r="I17" s="23">
        <v>1.4580741283638128E-2</v>
      </c>
    </row>
    <row r="18" spans="1:9" x14ac:dyDescent="0.25">
      <c r="B18" s="27"/>
    </row>
    <row r="19" spans="1:9" x14ac:dyDescent="0.25">
      <c r="A19" s="42" t="s">
        <v>54</v>
      </c>
      <c r="B19" s="41" t="s">
        <v>30</v>
      </c>
      <c r="C19" s="41" t="s">
        <v>55</v>
      </c>
    </row>
    <row r="20" spans="1:9" x14ac:dyDescent="0.25">
      <c r="A20" s="42" t="s">
        <v>56</v>
      </c>
      <c r="B20" s="51">
        <f>AVERAGE(J7)</f>
        <v>8.4022125856368576E-3</v>
      </c>
      <c r="C20" s="25">
        <f>B20*12</f>
        <v>0.10082655102764229</v>
      </c>
    </row>
    <row r="21" spans="1:9" x14ac:dyDescent="0.25">
      <c r="A21" s="42" t="s">
        <v>57</v>
      </c>
      <c r="B21" s="15">
        <f>SQRT(B22)</f>
        <v>3.6378609753702655E-2</v>
      </c>
      <c r="C21" s="15">
        <f>B21*SQRT(12)</f>
        <v>0.12601920080426743</v>
      </c>
    </row>
    <row r="22" spans="1:9" x14ac:dyDescent="0.25">
      <c r="A22" s="42" t="s">
        <v>58</v>
      </c>
      <c r="B22" s="31" cm="1">
        <f t="array" ref="B22">MMULT(MMULT(B6:I6,B10:I17),TRANSPOSE(B6:I6))</f>
        <v>1.32340324761219E-3</v>
      </c>
      <c r="C22" s="15">
        <f>B22*12</f>
        <v>1.5880838971346279E-2</v>
      </c>
    </row>
    <row r="23" spans="1:9" x14ac:dyDescent="0.25">
      <c r="A23" s="42" t="s">
        <v>46</v>
      </c>
      <c r="B23" s="23">
        <f>C23/12</f>
        <v>2.5000000000000001E-3</v>
      </c>
      <c r="C23" s="15">
        <v>0.03</v>
      </c>
    </row>
    <row r="24" spans="1:9" x14ac:dyDescent="0.25">
      <c r="A24" s="42" t="s">
        <v>59</v>
      </c>
      <c r="B24" s="24">
        <f>(B20-B23)/B21</f>
        <v>0.16224403916469413</v>
      </c>
      <c r="C24" s="24">
        <f>(C20-C23)/C21</f>
        <v>0.56202983811689011</v>
      </c>
    </row>
    <row r="26" spans="1:9" x14ac:dyDescent="0.25">
      <c r="E26" s="15"/>
    </row>
    <row r="27" spans="1:9" ht="30" x14ac:dyDescent="0.25">
      <c r="A27" s="60" t="s">
        <v>60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workbookViewId="0">
      <selection activeCell="L14" sqref="L14"/>
    </sheetView>
  </sheetViews>
  <sheetFormatPr defaultColWidth="8.7109375" defaultRowHeight="15" x14ac:dyDescent="0.25"/>
  <cols>
    <col min="1" max="1" width="34.28515625" bestFit="1" customWidth="1"/>
    <col min="2" max="2" width="10.140625" bestFit="1" customWidth="1"/>
    <col min="3" max="3" width="12" bestFit="1" customWidth="1"/>
  </cols>
  <sheetData>
    <row r="1" spans="1:10" x14ac:dyDescent="0.25">
      <c r="A1" s="39" t="s">
        <v>30</v>
      </c>
      <c r="B1" s="44"/>
      <c r="C1" s="44"/>
      <c r="D1" s="38"/>
      <c r="E1" s="38"/>
      <c r="F1" s="38"/>
      <c r="G1" s="38"/>
      <c r="H1" s="38"/>
      <c r="I1" s="39" t="s">
        <v>50</v>
      </c>
      <c r="J1" s="39">
        <f>COUNTA(B2:I2)</f>
        <v>8</v>
      </c>
    </row>
    <row r="2" spans="1:10" x14ac:dyDescent="0.25">
      <c r="A2" s="42"/>
      <c r="B2" s="42" t="s">
        <v>31</v>
      </c>
      <c r="C2" s="42" t="s">
        <v>32</v>
      </c>
      <c r="D2" s="42" t="s">
        <v>33</v>
      </c>
      <c r="E2" s="42" t="s">
        <v>34</v>
      </c>
      <c r="F2" s="42" t="s">
        <v>35</v>
      </c>
      <c r="G2" s="42" t="s">
        <v>36</v>
      </c>
      <c r="H2" s="42" t="s">
        <v>37</v>
      </c>
      <c r="I2" s="42" t="s">
        <v>38</v>
      </c>
      <c r="J2" s="42" t="s">
        <v>52</v>
      </c>
    </row>
    <row r="3" spans="1:10" x14ac:dyDescent="0.25">
      <c r="A3" s="42" t="s">
        <v>39</v>
      </c>
      <c r="B3" s="25">
        <f>Inputs!B3</f>
        <v>1.000647216839449E-2</v>
      </c>
      <c r="C3" s="25">
        <f>Inputs!C3</f>
        <v>2.7939852688329361E-3</v>
      </c>
      <c r="D3" s="25">
        <f>Inputs!D3</f>
        <v>1.4139893652706329E-2</v>
      </c>
      <c r="E3" s="25">
        <f>Inputs!E3</f>
        <v>7.7462473006259342E-3</v>
      </c>
      <c r="F3" s="25">
        <f>Inputs!F3</f>
        <v>3.2866288365767105E-3</v>
      </c>
      <c r="G3" s="25">
        <f>Inputs!G3</f>
        <v>1.2912393172579565E-2</v>
      </c>
      <c r="H3" s="25">
        <f>Inputs!H3</f>
        <v>1.3215150827212105E-2</v>
      </c>
      <c r="I3" s="25">
        <f>Inputs!I3</f>
        <v>2.289401301338027E-2</v>
      </c>
      <c r="J3" s="22"/>
    </row>
    <row r="4" spans="1:10" x14ac:dyDescent="0.25">
      <c r="A4" s="42" t="s">
        <v>40</v>
      </c>
      <c r="B4" s="25">
        <f>Inputs!B4</f>
        <v>8.4575546340940555E-2</v>
      </c>
      <c r="C4" s="25">
        <f>Inputs!C4</f>
        <v>0.10701118826119829</v>
      </c>
      <c r="D4" s="25">
        <f>Inputs!D4</f>
        <v>6.4818622536287687E-2</v>
      </c>
      <c r="E4" s="25">
        <f>Inputs!E4</f>
        <v>4.641564438451045E-2</v>
      </c>
      <c r="F4" s="25">
        <f>Inputs!F4</f>
        <v>5.1226708015411085E-2</v>
      </c>
      <c r="G4" s="25">
        <f>Inputs!G4</f>
        <v>5.1913869693024202E-2</v>
      </c>
      <c r="H4" s="25">
        <f>Inputs!H4</f>
        <v>9.0971721658222843E-2</v>
      </c>
      <c r="I4" s="25">
        <f>Inputs!I4</f>
        <v>0.12075074030265043</v>
      </c>
      <c r="J4" s="22"/>
    </row>
    <row r="5" spans="1:10" x14ac:dyDescent="0.25">
      <c r="A5" s="42" t="s">
        <v>42</v>
      </c>
      <c r="B5" s="52">
        <v>6.3202567630172568E-2</v>
      </c>
      <c r="C5" s="52">
        <v>0</v>
      </c>
      <c r="D5" s="52">
        <v>0.2185077242462348</v>
      </c>
      <c r="E5" s="52">
        <v>1.2040631626640517E-2</v>
      </c>
      <c r="F5" s="52">
        <v>0</v>
      </c>
      <c r="G5" s="52">
        <v>0.52196553005092727</v>
      </c>
      <c r="H5" s="52">
        <v>0</v>
      </c>
      <c r="I5" s="52">
        <v>0.1842835460965884</v>
      </c>
      <c r="J5" s="22">
        <f>SUM(B5:I5)</f>
        <v>0.99999999965056352</v>
      </c>
    </row>
    <row r="6" spans="1:10" x14ac:dyDescent="0.25">
      <c r="A6" s="42" t="s">
        <v>53</v>
      </c>
      <c r="B6" s="24">
        <f t="shared" ref="B6:I6" si="0">B3*B5</f>
        <v>6.3243473396239235E-4</v>
      </c>
      <c r="C6" s="24">
        <f t="shared" si="0"/>
        <v>0</v>
      </c>
      <c r="D6" s="24">
        <f t="shared" si="0"/>
        <v>3.0896759831366403E-3</v>
      </c>
      <c r="E6" s="24">
        <f t="shared" si="0"/>
        <v>9.3269710235695361E-5</v>
      </c>
      <c r="F6" s="24">
        <f t="shared" si="0"/>
        <v>0</v>
      </c>
      <c r="G6" s="24">
        <f t="shared" si="0"/>
        <v>6.7398241465514673E-3</v>
      </c>
      <c r="H6" s="24">
        <f t="shared" si="0"/>
        <v>0</v>
      </c>
      <c r="I6" s="24">
        <f t="shared" si="0"/>
        <v>4.2189899024871573E-3</v>
      </c>
      <c r="J6" s="24">
        <f>SUM(B6:I6)</f>
        <v>1.4774194476373353E-2</v>
      </c>
    </row>
    <row r="8" spans="1:10" x14ac:dyDescent="0.25">
      <c r="A8" s="42" t="str" cm="1">
        <f t="array" ref="A8:I16">Inputs!A22:I30</f>
        <v>Samle covariance matrix</v>
      </c>
      <c r="B8" t="str">
        <v>XOM</v>
      </c>
      <c r="C8" t="str">
        <v>GE</v>
      </c>
      <c r="D8" t="str">
        <v>HD</v>
      </c>
      <c r="E8" t="str">
        <v>JNJ</v>
      </c>
      <c r="F8" t="str">
        <v>VZ</v>
      </c>
      <c r="G8" t="str">
        <v>WMT</v>
      </c>
      <c r="H8" t="str">
        <v>BAC</v>
      </c>
      <c r="I8" t="str">
        <v>NFLX</v>
      </c>
    </row>
    <row r="9" spans="1:10" x14ac:dyDescent="0.25">
      <c r="A9" t="str">
        <v>XOM</v>
      </c>
      <c r="B9" s="23">
        <v>7.1530230388685851E-3</v>
      </c>
      <c r="C9" s="23">
        <v>4.0423296223558672E-3</v>
      </c>
      <c r="D9" s="23">
        <v>1.6739094671237452E-3</v>
      </c>
      <c r="E9" s="23">
        <v>1.5096923236469046E-3</v>
      </c>
      <c r="F9" s="23">
        <v>1.2158844635327497E-3</v>
      </c>
      <c r="G9" s="23">
        <v>6.8937806703447946E-4</v>
      </c>
      <c r="H9" s="23">
        <v>4.1741886132193561E-3</v>
      </c>
      <c r="I9" s="23">
        <v>7.9406000619153879E-4</v>
      </c>
    </row>
    <row r="10" spans="1:10" x14ac:dyDescent="0.25">
      <c r="A10" t="str">
        <v>GE</v>
      </c>
      <c r="B10" s="23">
        <v>4.0423296223558672E-3</v>
      </c>
      <c r="C10" s="23">
        <v>1.1451394413073622E-2</v>
      </c>
      <c r="D10" s="23">
        <v>1.5333245441087784E-3</v>
      </c>
      <c r="E10" s="23">
        <v>3.2587411165652325E-4</v>
      </c>
      <c r="F10" s="23">
        <v>6.8862861142991564E-4</v>
      </c>
      <c r="G10" s="23">
        <v>4.8384967042694606E-4</v>
      </c>
      <c r="H10" s="23">
        <v>5.0560908431775495E-3</v>
      </c>
      <c r="I10" s="23">
        <v>4.2244661586516843E-3</v>
      </c>
    </row>
    <row r="11" spans="1:10" x14ac:dyDescent="0.25">
      <c r="A11" t="str">
        <v>HD</v>
      </c>
      <c r="B11" s="23">
        <v>1.6739094671237452E-3</v>
      </c>
      <c r="C11" s="23">
        <v>1.5333245441087784E-3</v>
      </c>
      <c r="D11" s="23">
        <v>4.2014538275017416E-3</v>
      </c>
      <c r="E11" s="23">
        <v>1.1223169275120042E-3</v>
      </c>
      <c r="F11" s="23">
        <v>8.8362389040491955E-4</v>
      </c>
      <c r="G11" s="23">
        <v>1.1779240811207882E-3</v>
      </c>
      <c r="H11" s="23">
        <v>3.1122945120751061E-3</v>
      </c>
      <c r="I11" s="23">
        <v>2.3283332346869271E-3</v>
      </c>
    </row>
    <row r="12" spans="1:10" x14ac:dyDescent="0.25">
      <c r="A12" t="str">
        <v>JNJ</v>
      </c>
      <c r="B12" s="23">
        <v>1.5096923236469046E-3</v>
      </c>
      <c r="C12" s="23">
        <v>3.2587411165652325E-4</v>
      </c>
      <c r="D12" s="23">
        <v>1.1223169275120042E-3</v>
      </c>
      <c r="E12" s="23">
        <v>2.1544120436293372E-3</v>
      </c>
      <c r="F12" s="23">
        <v>9.5276915145425334E-4</v>
      </c>
      <c r="G12" s="23">
        <v>1.0734612299308749E-3</v>
      </c>
      <c r="H12" s="23">
        <v>1.3542272854426428E-3</v>
      </c>
      <c r="I12" s="23">
        <v>6.0516345715010535E-5</v>
      </c>
    </row>
    <row r="13" spans="1:10" x14ac:dyDescent="0.25">
      <c r="A13" t="str">
        <v>VZ</v>
      </c>
      <c r="B13" s="23">
        <v>1.2158844635327497E-3</v>
      </c>
      <c r="C13" s="23">
        <v>6.8862861142991564E-4</v>
      </c>
      <c r="D13" s="23">
        <v>8.8362389040491955E-4</v>
      </c>
      <c r="E13" s="23">
        <v>9.5276915145425334E-4</v>
      </c>
      <c r="F13" s="23">
        <v>2.6241756140961822E-3</v>
      </c>
      <c r="G13" s="23">
        <v>8.8324802021452298E-4</v>
      </c>
      <c r="H13" s="23">
        <v>8.417132777846757E-4</v>
      </c>
      <c r="I13" s="23">
        <v>1.8217927630961715E-4</v>
      </c>
    </row>
    <row r="14" spans="1:10" x14ac:dyDescent="0.25">
      <c r="A14" t="str">
        <v>WMT</v>
      </c>
      <c r="B14" s="23">
        <v>6.8937806703447946E-4</v>
      </c>
      <c r="C14" s="23">
        <v>4.8384967042694606E-4</v>
      </c>
      <c r="D14" s="23">
        <v>1.1779240811207882E-3</v>
      </c>
      <c r="E14" s="23">
        <v>1.0734612299308749E-3</v>
      </c>
      <c r="F14" s="23">
        <v>8.8324802021452298E-4</v>
      </c>
      <c r="G14" s="23">
        <v>2.695049866504296E-3</v>
      </c>
      <c r="H14" s="23">
        <v>7.7235706303687031E-4</v>
      </c>
      <c r="I14" s="23">
        <v>7.6610458830586516E-4</v>
      </c>
    </row>
    <row r="15" spans="1:10" x14ac:dyDescent="0.25">
      <c r="A15" t="str">
        <v>BAC</v>
      </c>
      <c r="B15" s="23">
        <v>4.1741886132193561E-3</v>
      </c>
      <c r="C15" s="23">
        <v>5.0560908431775495E-3</v>
      </c>
      <c r="D15" s="23">
        <v>3.1122945120751061E-3</v>
      </c>
      <c r="E15" s="23">
        <v>1.3542272854426428E-3</v>
      </c>
      <c r="F15" s="23">
        <v>8.417132777846757E-4</v>
      </c>
      <c r="G15" s="23">
        <v>7.7235706303687031E-4</v>
      </c>
      <c r="H15" s="23">
        <v>8.2758541414611683E-3</v>
      </c>
      <c r="I15" s="23">
        <v>3.7892337026891923E-3</v>
      </c>
    </row>
    <row r="16" spans="1:10" x14ac:dyDescent="0.25">
      <c r="A16" t="str">
        <v>NFLX</v>
      </c>
      <c r="B16" s="23">
        <v>7.9406000619153879E-4</v>
      </c>
      <c r="C16" s="23">
        <v>4.2244661586516843E-3</v>
      </c>
      <c r="D16" s="23">
        <v>2.3283332346869271E-3</v>
      </c>
      <c r="E16" s="23">
        <v>6.0516345715010535E-5</v>
      </c>
      <c r="F16" s="23">
        <v>1.8217927630961715E-4</v>
      </c>
      <c r="G16" s="23">
        <v>7.6610458830586516E-4</v>
      </c>
      <c r="H16" s="23">
        <v>3.7892337026891923E-3</v>
      </c>
      <c r="I16" s="23">
        <v>1.4580741283638128E-2</v>
      </c>
    </row>
    <row r="17" spans="1:10" x14ac:dyDescent="0.25">
      <c r="B17" s="27"/>
    </row>
    <row r="18" spans="1:10" x14ac:dyDescent="0.25">
      <c r="A18" s="42" t="s">
        <v>61</v>
      </c>
      <c r="B18" s="42" t="s">
        <v>30</v>
      </c>
      <c r="C18" s="42" t="s">
        <v>55</v>
      </c>
    </row>
    <row r="19" spans="1:10" x14ac:dyDescent="0.25">
      <c r="A19" s="42" t="s">
        <v>56</v>
      </c>
      <c r="B19" s="24">
        <f>AVERAGE(J6)</f>
        <v>1.4774194476373353E-2</v>
      </c>
      <c r="C19" s="25">
        <f>B19*12</f>
        <v>0.17729033371648023</v>
      </c>
      <c r="G19">
        <v>0</v>
      </c>
      <c r="H19">
        <v>1</v>
      </c>
      <c r="I19">
        <v>2</v>
      </c>
      <c r="J19">
        <v>3</v>
      </c>
    </row>
    <row r="20" spans="1:10" x14ac:dyDescent="0.25">
      <c r="A20" s="42" t="s">
        <v>57</v>
      </c>
      <c r="B20" s="15">
        <f>SQRT(B21)</f>
        <v>4.6847451013823101E-2</v>
      </c>
      <c r="C20" s="15">
        <f>B20*SQRT(12)</f>
        <v>0.16228433072207143</v>
      </c>
      <c r="G20" s="15">
        <f>C19</f>
        <v>0.17729033371648023</v>
      </c>
      <c r="H20" s="15">
        <f>C19+C20</f>
        <v>0.33957466443855167</v>
      </c>
      <c r="I20" s="15">
        <f>H20+C20</f>
        <v>0.50185899516062316</v>
      </c>
      <c r="J20" s="15">
        <f>I20+C20</f>
        <v>0.66414332588269454</v>
      </c>
    </row>
    <row r="21" spans="1:10" x14ac:dyDescent="0.25">
      <c r="A21" s="42" t="s">
        <v>58</v>
      </c>
      <c r="B21" s="15" cm="1">
        <f t="array" ref="B21">MMULT(MMULT(B5:I5,B9:I16),TRANSPOSE(B5:I5))</f>
        <v>2.1946836664925549E-3</v>
      </c>
      <c r="C21" s="15">
        <f>B21*12</f>
        <v>2.6336203997910659E-2</v>
      </c>
      <c r="G21" s="79">
        <v>0.5</v>
      </c>
      <c r="H21" s="79">
        <v>0.68269999999999997</v>
      </c>
      <c r="I21" s="79">
        <v>0.95450000000000002</v>
      </c>
      <c r="J21" s="79">
        <v>0.99729999999999996</v>
      </c>
    </row>
    <row r="22" spans="1:10" x14ac:dyDescent="0.25">
      <c r="A22" s="42" t="s">
        <v>46</v>
      </c>
      <c r="B22" s="23">
        <f>C22/12</f>
        <v>2.5000000000000001E-3</v>
      </c>
      <c r="C22" s="15">
        <v>0.03</v>
      </c>
    </row>
    <row r="23" spans="1:10" x14ac:dyDescent="0.25">
      <c r="A23" s="42" t="s">
        <v>59</v>
      </c>
      <c r="B23" s="49">
        <f>(B19-B22)/B20</f>
        <v>0.26200346466559415</v>
      </c>
      <c r="C23" s="24">
        <f>(C19-C22)/C20</f>
        <v>0.9076066251197723</v>
      </c>
    </row>
    <row r="26" spans="1:10" ht="30" x14ac:dyDescent="0.25">
      <c r="A26" s="60" t="s">
        <v>62</v>
      </c>
    </row>
    <row r="27" spans="1:10" x14ac:dyDescent="0.25">
      <c r="A27" s="61" t="s">
        <v>63</v>
      </c>
    </row>
    <row r="30" spans="1:10" x14ac:dyDescent="0.25">
      <c r="A30" t="s">
        <v>64</v>
      </c>
      <c r="B30" t="s">
        <v>65</v>
      </c>
      <c r="C30" t="s">
        <v>66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"/>
  <sheetViews>
    <sheetView workbookViewId="0">
      <selection activeCell="K12" sqref="K12"/>
    </sheetView>
  </sheetViews>
  <sheetFormatPr defaultColWidth="8.7109375" defaultRowHeight="15" x14ac:dyDescent="0.25"/>
  <cols>
    <col min="1" max="1" width="34.28515625" bestFit="1" customWidth="1"/>
    <col min="2" max="3" width="12.140625" bestFit="1" customWidth="1"/>
    <col min="4" max="9" width="10.5703125" bestFit="1" customWidth="1"/>
  </cols>
  <sheetData>
    <row r="1" spans="1:10" x14ac:dyDescent="0.25">
      <c r="A1" s="39" t="s">
        <v>30</v>
      </c>
      <c r="B1" s="44"/>
      <c r="C1" s="44"/>
      <c r="D1" s="38"/>
      <c r="E1" s="38"/>
      <c r="F1" s="38"/>
      <c r="G1" s="38"/>
      <c r="H1" s="38"/>
      <c r="I1" s="39" t="s">
        <v>50</v>
      </c>
      <c r="J1" s="39">
        <f>COUNTA(B2:I2)</f>
        <v>8</v>
      </c>
    </row>
    <row r="2" spans="1:10" x14ac:dyDescent="0.25">
      <c r="A2" s="42"/>
      <c r="B2" s="42" t="s">
        <v>31</v>
      </c>
      <c r="C2" s="42" t="s">
        <v>32</v>
      </c>
      <c r="D2" s="42" t="s">
        <v>33</v>
      </c>
      <c r="E2" s="42" t="s">
        <v>34</v>
      </c>
      <c r="F2" s="42" t="s">
        <v>35</v>
      </c>
      <c r="G2" s="42" t="s">
        <v>36</v>
      </c>
      <c r="H2" s="42" t="s">
        <v>37</v>
      </c>
      <c r="I2" s="42" t="s">
        <v>38</v>
      </c>
      <c r="J2" s="42" t="s">
        <v>52</v>
      </c>
    </row>
    <row r="3" spans="1:10" x14ac:dyDescent="0.25">
      <c r="A3" s="42" t="s">
        <v>72</v>
      </c>
      <c r="B3" s="25">
        <f>Inputs!B3</f>
        <v>1.000647216839449E-2</v>
      </c>
      <c r="C3" s="25">
        <f>Inputs!C3</f>
        <v>2.7939852688329361E-3</v>
      </c>
      <c r="D3" s="25">
        <f>Inputs!D3</f>
        <v>1.4139893652706329E-2</v>
      </c>
      <c r="E3" s="25">
        <f>Inputs!E3</f>
        <v>7.7462473006259342E-3</v>
      </c>
      <c r="F3" s="25">
        <f>Inputs!F3</f>
        <v>3.2866288365767105E-3</v>
      </c>
      <c r="G3" s="25">
        <f>Inputs!G3</f>
        <v>1.2912393172579565E-2</v>
      </c>
      <c r="H3" s="25">
        <f>Inputs!H3</f>
        <v>1.3215150827212105E-2</v>
      </c>
      <c r="I3" s="25">
        <f>Inputs!I3</f>
        <v>2.289401301338027E-2</v>
      </c>
      <c r="J3" s="22"/>
    </row>
    <row r="4" spans="1:10" x14ac:dyDescent="0.25">
      <c r="A4" s="42" t="s">
        <v>40</v>
      </c>
      <c r="B4" s="25">
        <f>Inputs!B4</f>
        <v>8.4575546340940555E-2</v>
      </c>
      <c r="C4" s="25">
        <f>Inputs!C4</f>
        <v>0.10701118826119829</v>
      </c>
      <c r="D4" s="25">
        <f>Inputs!D4</f>
        <v>6.4818622536287687E-2</v>
      </c>
      <c r="E4" s="25">
        <f>Inputs!E4</f>
        <v>4.641564438451045E-2</v>
      </c>
      <c r="F4" s="25">
        <f>Inputs!F4</f>
        <v>5.1226708015411085E-2</v>
      </c>
      <c r="G4" s="25">
        <f>Inputs!G4</f>
        <v>5.1913869693024202E-2</v>
      </c>
      <c r="H4" s="25">
        <f>Inputs!H4</f>
        <v>9.0971721658222843E-2</v>
      </c>
      <c r="I4" s="25">
        <f>Inputs!I4</f>
        <v>0.12075074030265043</v>
      </c>
      <c r="J4" s="22"/>
    </row>
    <row r="5" spans="1:10" x14ac:dyDescent="0.25">
      <c r="A5" s="42" t="s">
        <v>42</v>
      </c>
      <c r="B5" s="52">
        <v>0.19487152067816443</v>
      </c>
      <c r="C5" s="52">
        <v>-0.16873597876445143</v>
      </c>
      <c r="D5" s="52">
        <v>0.2</v>
      </c>
      <c r="E5" s="52">
        <v>0.2</v>
      </c>
      <c r="F5" s="52">
        <v>4.8063445215998417E-2</v>
      </c>
      <c r="G5" s="52">
        <v>0.2</v>
      </c>
      <c r="H5" s="52">
        <v>0.12580102653335509</v>
      </c>
      <c r="I5" s="52">
        <v>0.19999999999999998</v>
      </c>
      <c r="J5" s="22">
        <f>SUM(B5:I5)</f>
        <v>1.0000000136630667</v>
      </c>
    </row>
    <row r="6" spans="1:10" x14ac:dyDescent="0.25">
      <c r="A6" s="42" t="s">
        <v>53</v>
      </c>
      <c r="B6" s="24">
        <f t="shared" ref="B6:I6" si="0">B3*B5</f>
        <v>1.9499764480787637E-3</v>
      </c>
      <c r="C6" s="24">
        <f t="shared" si="0"/>
        <v>-4.7144583898998439E-4</v>
      </c>
      <c r="D6" s="24">
        <f t="shared" si="0"/>
        <v>2.827978730541266E-3</v>
      </c>
      <c r="E6" s="24">
        <f t="shared" si="0"/>
        <v>1.549249460125187E-3</v>
      </c>
      <c r="F6" s="24">
        <f t="shared" si="0"/>
        <v>1.5796670503212534E-4</v>
      </c>
      <c r="G6" s="24">
        <f t="shared" si="0"/>
        <v>2.5824786345159129E-3</v>
      </c>
      <c r="H6" s="24">
        <f t="shared" si="0"/>
        <v>1.6624795398563995E-3</v>
      </c>
      <c r="I6" s="24">
        <f t="shared" si="0"/>
        <v>4.5788026026760539E-3</v>
      </c>
      <c r="J6" s="24">
        <f>SUM(B6:I6)</f>
        <v>1.4837486281835722E-2</v>
      </c>
    </row>
    <row r="7" spans="1:10" x14ac:dyDescent="0.25">
      <c r="A7" s="17"/>
    </row>
    <row r="8" spans="1:10" x14ac:dyDescent="0.25">
      <c r="A8" s="42" t="str" cm="1">
        <f t="array" ref="A8:I16">Inputs!A22:I30</f>
        <v>Samle covariance matrix</v>
      </c>
      <c r="B8" s="23" t="str">
        <v>XOM</v>
      </c>
      <c r="C8" s="23" t="str">
        <v>GE</v>
      </c>
      <c r="D8" s="23" t="str">
        <v>HD</v>
      </c>
      <c r="E8" t="str">
        <v>JNJ</v>
      </c>
      <c r="F8" t="str">
        <v>VZ</v>
      </c>
      <c r="G8" t="str">
        <v>WMT</v>
      </c>
      <c r="H8" t="str">
        <v>BAC</v>
      </c>
      <c r="I8" t="str">
        <v>NFLX</v>
      </c>
    </row>
    <row r="9" spans="1:10" x14ac:dyDescent="0.25">
      <c r="A9" t="str">
        <v>XOM</v>
      </c>
      <c r="B9" s="23">
        <v>7.1530230388685851E-3</v>
      </c>
      <c r="C9" s="23">
        <v>4.0423296223558672E-3</v>
      </c>
      <c r="D9" s="23">
        <v>1.6739094671237452E-3</v>
      </c>
      <c r="E9" s="23">
        <v>1.5096923236469046E-3</v>
      </c>
      <c r="F9" s="23">
        <v>1.2158844635327497E-3</v>
      </c>
      <c r="G9" s="23">
        <v>6.8937806703447946E-4</v>
      </c>
      <c r="H9" s="23">
        <v>4.1741886132193561E-3</v>
      </c>
      <c r="I9" s="23">
        <v>7.9406000619153879E-4</v>
      </c>
    </row>
    <row r="10" spans="1:10" x14ac:dyDescent="0.25">
      <c r="A10" t="str">
        <v>GE</v>
      </c>
      <c r="B10" s="23">
        <v>4.0423296223558672E-3</v>
      </c>
      <c r="C10" s="23">
        <v>1.1451394413073622E-2</v>
      </c>
      <c r="D10" s="23">
        <v>1.5333245441087784E-3</v>
      </c>
      <c r="E10" s="23">
        <v>3.2587411165652325E-4</v>
      </c>
      <c r="F10" s="23">
        <v>6.8862861142991564E-4</v>
      </c>
      <c r="G10" s="23">
        <v>4.8384967042694606E-4</v>
      </c>
      <c r="H10" s="23">
        <v>5.0560908431775495E-3</v>
      </c>
      <c r="I10" s="23">
        <v>4.2244661586516843E-3</v>
      </c>
    </row>
    <row r="11" spans="1:10" x14ac:dyDescent="0.25">
      <c r="A11" t="str">
        <v>HD</v>
      </c>
      <c r="B11" s="23">
        <v>1.6739094671237452E-3</v>
      </c>
      <c r="C11" s="23">
        <v>1.5333245441087784E-3</v>
      </c>
      <c r="D11" s="23">
        <v>4.2014538275017416E-3</v>
      </c>
      <c r="E11" s="23">
        <v>1.1223169275120042E-3</v>
      </c>
      <c r="F11" s="23">
        <v>8.8362389040491955E-4</v>
      </c>
      <c r="G11" s="23">
        <v>1.1779240811207882E-3</v>
      </c>
      <c r="H11" s="23">
        <v>3.1122945120751061E-3</v>
      </c>
      <c r="I11" s="23">
        <v>2.3283332346869271E-3</v>
      </c>
    </row>
    <row r="12" spans="1:10" x14ac:dyDescent="0.25">
      <c r="A12" t="str">
        <v>JNJ</v>
      </c>
      <c r="B12" s="23">
        <v>1.5096923236469046E-3</v>
      </c>
      <c r="C12" s="23">
        <v>3.2587411165652325E-4</v>
      </c>
      <c r="D12" s="23">
        <v>1.1223169275120042E-3</v>
      </c>
      <c r="E12" s="23">
        <v>2.1544120436293372E-3</v>
      </c>
      <c r="F12" s="23">
        <v>9.5276915145425334E-4</v>
      </c>
      <c r="G12" s="23">
        <v>1.0734612299308749E-3</v>
      </c>
      <c r="H12" s="23">
        <v>1.3542272854426428E-3</v>
      </c>
      <c r="I12" s="23">
        <v>6.0516345715010535E-5</v>
      </c>
    </row>
    <row r="13" spans="1:10" x14ac:dyDescent="0.25">
      <c r="A13" t="str">
        <v>VZ</v>
      </c>
      <c r="B13" s="23">
        <v>1.2158844635327497E-3</v>
      </c>
      <c r="C13" s="23">
        <v>6.8862861142991564E-4</v>
      </c>
      <c r="D13" s="23">
        <v>8.8362389040491955E-4</v>
      </c>
      <c r="E13" s="23">
        <v>9.5276915145425334E-4</v>
      </c>
      <c r="F13" s="23">
        <v>2.6241756140961822E-3</v>
      </c>
      <c r="G13" s="23">
        <v>8.8324802021452298E-4</v>
      </c>
      <c r="H13" s="23">
        <v>8.417132777846757E-4</v>
      </c>
      <c r="I13" s="23">
        <v>1.8217927630961715E-4</v>
      </c>
    </row>
    <row r="14" spans="1:10" x14ac:dyDescent="0.25">
      <c r="A14" t="str">
        <v>WMT</v>
      </c>
      <c r="B14" s="23">
        <v>6.8937806703447946E-4</v>
      </c>
      <c r="C14" s="23">
        <v>4.8384967042694606E-4</v>
      </c>
      <c r="D14" s="23">
        <v>1.1779240811207882E-3</v>
      </c>
      <c r="E14" s="23">
        <v>1.0734612299308749E-3</v>
      </c>
      <c r="F14" s="23">
        <v>8.8324802021452298E-4</v>
      </c>
      <c r="G14" s="23">
        <v>2.695049866504296E-3</v>
      </c>
      <c r="H14" s="23">
        <v>7.7235706303687031E-4</v>
      </c>
      <c r="I14" s="23">
        <v>7.6610458830586516E-4</v>
      </c>
    </row>
    <row r="15" spans="1:10" x14ac:dyDescent="0.25">
      <c r="A15" t="str">
        <v>BAC</v>
      </c>
      <c r="B15" s="23">
        <v>4.1741886132193561E-3</v>
      </c>
      <c r="C15" s="23">
        <v>5.0560908431775495E-3</v>
      </c>
      <c r="D15" s="23">
        <v>3.1122945120751061E-3</v>
      </c>
      <c r="E15" s="23">
        <v>1.3542272854426428E-3</v>
      </c>
      <c r="F15" s="23">
        <v>8.417132777846757E-4</v>
      </c>
      <c r="G15" s="23">
        <v>7.7235706303687031E-4</v>
      </c>
      <c r="H15" s="23">
        <v>8.2758541414611683E-3</v>
      </c>
      <c r="I15" s="23">
        <v>3.7892337026891923E-3</v>
      </c>
    </row>
    <row r="16" spans="1:10" x14ac:dyDescent="0.25">
      <c r="A16" t="str">
        <v>NFLX</v>
      </c>
      <c r="B16" s="23">
        <v>7.9406000619153879E-4</v>
      </c>
      <c r="C16" s="23">
        <v>4.2244661586516843E-3</v>
      </c>
      <c r="D16" s="23">
        <v>2.3283332346869271E-3</v>
      </c>
      <c r="E16" s="23">
        <v>6.0516345715010535E-5</v>
      </c>
      <c r="F16" s="23">
        <v>1.8217927630961715E-4</v>
      </c>
      <c r="G16" s="23">
        <v>7.6610458830586516E-4</v>
      </c>
      <c r="H16" s="23">
        <v>3.7892337026891923E-3</v>
      </c>
      <c r="I16" s="23">
        <v>1.4580741283638128E-2</v>
      </c>
    </row>
    <row r="17" spans="1:3" x14ac:dyDescent="0.25">
      <c r="B17" s="27"/>
    </row>
    <row r="18" spans="1:3" x14ac:dyDescent="0.25">
      <c r="A18" s="42" t="s">
        <v>73</v>
      </c>
      <c r="B18" s="42" t="s">
        <v>30</v>
      </c>
      <c r="C18" s="42" t="s">
        <v>55</v>
      </c>
    </row>
    <row r="19" spans="1:3" x14ac:dyDescent="0.25">
      <c r="A19" s="42" t="s">
        <v>56</v>
      </c>
      <c r="B19" s="24">
        <f>AVERAGE(J6)</f>
        <v>1.4837486281835722E-2</v>
      </c>
      <c r="C19" s="25">
        <f>B19*12</f>
        <v>0.17804983538202868</v>
      </c>
    </row>
    <row r="20" spans="1:3" x14ac:dyDescent="0.25">
      <c r="A20" s="42" t="s">
        <v>57</v>
      </c>
      <c r="B20" s="15">
        <f>SQRT(B21)</f>
        <v>4.8773271978723047E-2</v>
      </c>
      <c r="C20" s="15">
        <f>B20*SQRT(12)</f>
        <v>0.16895557023704749</v>
      </c>
    </row>
    <row r="21" spans="1:3" x14ac:dyDescent="0.25">
      <c r="A21" s="42" t="s">
        <v>58</v>
      </c>
      <c r="B21" s="15" cm="1">
        <f t="array" ref="B21">MMULT(MMULT(B5:I5,B9:I16),TRANSPOSE(B5:I5))</f>
        <v>2.3788320595104907E-3</v>
      </c>
      <c r="C21" s="15">
        <f>B21*12</f>
        <v>2.8545984714125887E-2</v>
      </c>
    </row>
    <row r="22" spans="1:3" x14ac:dyDescent="0.25">
      <c r="A22" s="42" t="s">
        <v>46</v>
      </c>
      <c r="B22" s="15">
        <f>C22/12</f>
        <v>2.5000000000000001E-3</v>
      </c>
      <c r="C22" s="15">
        <v>0.03</v>
      </c>
    </row>
    <row r="23" spans="1:3" x14ac:dyDescent="0.25">
      <c r="A23" s="42" t="s">
        <v>59</v>
      </c>
      <c r="B23" s="49">
        <f>(B19-B22)/B20</f>
        <v>0.25295588713461448</v>
      </c>
      <c r="C23" s="24">
        <f>(C19-C22)/C20</f>
        <v>0.8762648971816217</v>
      </c>
    </row>
    <row r="26" spans="1:3" ht="30" x14ac:dyDescent="0.25">
      <c r="A26" s="60" t="s">
        <v>62</v>
      </c>
    </row>
    <row r="27" spans="1:3" ht="30" x14ac:dyDescent="0.25">
      <c r="A27" s="61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F17C-4B0A-4878-8103-6547E1B12291}">
  <dimension ref="A1:K27"/>
  <sheetViews>
    <sheetView workbookViewId="0">
      <selection activeCell="F19" sqref="F19"/>
    </sheetView>
  </sheetViews>
  <sheetFormatPr defaultColWidth="8.7109375" defaultRowHeight="15" x14ac:dyDescent="0.25"/>
  <cols>
    <col min="1" max="1" width="34.28515625" bestFit="1" customWidth="1"/>
  </cols>
  <sheetData>
    <row r="1" spans="1:11" x14ac:dyDescent="0.25">
      <c r="A1" s="39" t="s">
        <v>30</v>
      </c>
      <c r="B1" s="44"/>
      <c r="C1" s="44"/>
      <c r="D1" s="38"/>
      <c r="E1" s="38"/>
      <c r="F1" s="38"/>
      <c r="G1" s="38"/>
      <c r="H1" s="38"/>
      <c r="I1" s="38"/>
      <c r="J1" s="39" t="s">
        <v>50</v>
      </c>
      <c r="K1" s="39">
        <f>COUNTA(B2:I2)</f>
        <v>8</v>
      </c>
    </row>
    <row r="2" spans="1:11" x14ac:dyDescent="0.25">
      <c r="A2" s="42"/>
      <c r="B2" s="42" t="s">
        <v>31</v>
      </c>
      <c r="C2" s="42" t="s">
        <v>32</v>
      </c>
      <c r="D2" s="42" t="s">
        <v>33</v>
      </c>
      <c r="E2" s="42" t="s">
        <v>34</v>
      </c>
      <c r="F2" s="42" t="s">
        <v>35</v>
      </c>
      <c r="G2" s="42" t="s">
        <v>36</v>
      </c>
      <c r="H2" s="42" t="s">
        <v>37</v>
      </c>
      <c r="I2" s="42" t="s">
        <v>38</v>
      </c>
      <c r="J2" s="42" t="s">
        <v>10</v>
      </c>
      <c r="K2" s="42" t="s">
        <v>52</v>
      </c>
    </row>
    <row r="3" spans="1:11" x14ac:dyDescent="0.25">
      <c r="A3" s="42" t="s">
        <v>39</v>
      </c>
      <c r="B3" s="25">
        <f>Inputs!B3</f>
        <v>1.000647216839449E-2</v>
      </c>
      <c r="C3" s="25">
        <f>Inputs!C3</f>
        <v>2.7939852688329361E-3</v>
      </c>
      <c r="D3" s="25">
        <f>Inputs!D3</f>
        <v>1.4139893652706329E-2</v>
      </c>
      <c r="E3" s="25">
        <f>Inputs!E3</f>
        <v>7.7462473006259342E-3</v>
      </c>
      <c r="F3" s="25">
        <f>Inputs!F3</f>
        <v>3.2866288365767105E-3</v>
      </c>
      <c r="G3" s="25">
        <f>Inputs!G3</f>
        <v>1.2912393172579565E-2</v>
      </c>
      <c r="H3" s="25">
        <f>Inputs!H3</f>
        <v>1.3215150827212105E-2</v>
      </c>
      <c r="I3" s="25">
        <f>Inputs!I3</f>
        <v>2.289401301338027E-2</v>
      </c>
      <c r="K3" s="22"/>
    </row>
    <row r="4" spans="1:11" x14ac:dyDescent="0.25">
      <c r="A4" s="42" t="s">
        <v>40</v>
      </c>
      <c r="B4" s="25">
        <f>Inputs!B4</f>
        <v>8.4575546340940555E-2</v>
      </c>
      <c r="C4" s="25">
        <f>Inputs!C4</f>
        <v>0.10701118826119829</v>
      </c>
      <c r="D4" s="25">
        <f>Inputs!D4</f>
        <v>6.4818622536287687E-2</v>
      </c>
      <c r="E4" s="25">
        <f>Inputs!E4</f>
        <v>4.641564438451045E-2</v>
      </c>
      <c r="F4" s="25">
        <f>Inputs!F4</f>
        <v>5.1226708015411085E-2</v>
      </c>
      <c r="G4" s="25">
        <f>Inputs!G4</f>
        <v>5.1913869693024202E-2</v>
      </c>
      <c r="H4" s="25">
        <f>Inputs!H4</f>
        <v>9.0971721658222843E-2</v>
      </c>
      <c r="I4" s="25">
        <f>Inputs!I4</f>
        <v>0.12075074030265043</v>
      </c>
      <c r="J4" s="32">
        <f>_xlfn.STDEV.S(Data!K2:K97)</f>
        <v>4.6344001910936586E-2</v>
      </c>
      <c r="K4" s="22"/>
    </row>
    <row r="5" spans="1:11" x14ac:dyDescent="0.25">
      <c r="A5" s="42" t="s">
        <v>42</v>
      </c>
      <c r="B5" s="52">
        <v>0.12693997455999592</v>
      </c>
      <c r="C5" s="52">
        <v>-0.10350985184649841</v>
      </c>
      <c r="D5" s="52">
        <v>0.18953871160300603</v>
      </c>
      <c r="E5" s="52">
        <v>0.17991923490450318</v>
      </c>
      <c r="F5" s="52">
        <v>-7.0325488229454683E-2</v>
      </c>
      <c r="G5" s="52">
        <v>0.49313489513287678</v>
      </c>
      <c r="H5" s="52">
        <v>1.0681345947769677E-2</v>
      </c>
      <c r="I5" s="52">
        <v>0.17362117792781009</v>
      </c>
      <c r="K5" s="25">
        <f>SUM(B5:I5)</f>
        <v>1.0000000000000087</v>
      </c>
    </row>
    <row r="6" spans="1:11" x14ac:dyDescent="0.25">
      <c r="A6" s="42" t="s">
        <v>53</v>
      </c>
      <c r="B6" s="51">
        <f>B3*B5</f>
        <v>1.2702213224913038E-3</v>
      </c>
      <c r="C6" s="51">
        <f t="shared" ref="C6:H6" si="0">C3*C5</f>
        <v>-2.8920500123819624E-4</v>
      </c>
      <c r="D6" s="51">
        <f t="shared" si="0"/>
        <v>2.6800572251374803E-3</v>
      </c>
      <c r="E6" s="51">
        <f t="shared" si="0"/>
        <v>1.3936988877096912E-3</v>
      </c>
      <c r="F6" s="51">
        <f t="shared" si="0"/>
        <v>-2.3113377756126178E-4</v>
      </c>
      <c r="G6" s="51">
        <f t="shared" si="0"/>
        <v>6.3675516530744981E-3</v>
      </c>
      <c r="H6" s="51">
        <f t="shared" si="0"/>
        <v>1.4115559773740711E-4</v>
      </c>
      <c r="I6" s="51">
        <f>I3*I5</f>
        <v>3.9748855068776952E-3</v>
      </c>
      <c r="K6" s="24">
        <f>SUM(B6:I6)</f>
        <v>1.5307231414228618E-2</v>
      </c>
    </row>
    <row r="7" spans="1:11" x14ac:dyDescent="0.25">
      <c r="A7" s="55"/>
      <c r="K7" s="23"/>
    </row>
    <row r="8" spans="1:11" x14ac:dyDescent="0.25">
      <c r="A8" s="42" t="str" cm="1">
        <f t="array" ref="A8:I16">Inputs!A22:I30</f>
        <v>Samle covariance matrix</v>
      </c>
      <c r="B8" t="str">
        <v>XOM</v>
      </c>
      <c r="C8" t="str">
        <v>GE</v>
      </c>
      <c r="D8" t="str">
        <v>HD</v>
      </c>
      <c r="E8" t="str">
        <v>JNJ</v>
      </c>
      <c r="F8" t="str">
        <v>VZ</v>
      </c>
      <c r="G8" t="str">
        <v>WMT</v>
      </c>
      <c r="H8" t="str">
        <v>BAC</v>
      </c>
      <c r="I8" t="str">
        <v>NFLX</v>
      </c>
    </row>
    <row r="9" spans="1:11" x14ac:dyDescent="0.25">
      <c r="A9" t="str">
        <v>XOM</v>
      </c>
      <c r="B9" s="23">
        <v>7.1530230388685851E-3</v>
      </c>
      <c r="C9" s="23">
        <v>4.0423296223558672E-3</v>
      </c>
      <c r="D9" s="23">
        <v>1.6739094671237452E-3</v>
      </c>
      <c r="E9" s="23">
        <v>1.5096923236469046E-3</v>
      </c>
      <c r="F9" s="23">
        <v>1.2158844635327497E-3</v>
      </c>
      <c r="G9" s="23">
        <v>6.8937806703447946E-4</v>
      </c>
      <c r="H9" s="23">
        <v>4.1741886132193561E-3</v>
      </c>
      <c r="I9" s="23">
        <v>7.9406000619153879E-4</v>
      </c>
    </row>
    <row r="10" spans="1:11" x14ac:dyDescent="0.25">
      <c r="A10" t="str">
        <v>GE</v>
      </c>
      <c r="B10" s="23">
        <v>4.0423296223558672E-3</v>
      </c>
      <c r="C10" s="23">
        <v>1.1451394413073622E-2</v>
      </c>
      <c r="D10" s="23">
        <v>1.5333245441087784E-3</v>
      </c>
      <c r="E10" s="23">
        <v>3.2587411165652325E-4</v>
      </c>
      <c r="F10" s="23">
        <v>6.8862861142991564E-4</v>
      </c>
      <c r="G10" s="23">
        <v>4.8384967042694606E-4</v>
      </c>
      <c r="H10" s="23">
        <v>5.0560908431775495E-3</v>
      </c>
      <c r="I10" s="23">
        <v>4.2244661586516843E-3</v>
      </c>
    </row>
    <row r="11" spans="1:11" x14ac:dyDescent="0.25">
      <c r="A11" t="str">
        <v>HD</v>
      </c>
      <c r="B11" s="23">
        <v>1.6739094671237452E-3</v>
      </c>
      <c r="C11" s="23">
        <v>1.5333245441087784E-3</v>
      </c>
      <c r="D11" s="23">
        <v>4.2014538275017416E-3</v>
      </c>
      <c r="E11" s="23">
        <v>1.1223169275120042E-3</v>
      </c>
      <c r="F11" s="23">
        <v>8.8362389040491955E-4</v>
      </c>
      <c r="G11" s="23">
        <v>1.1779240811207882E-3</v>
      </c>
      <c r="H11" s="23">
        <v>3.1122945120751061E-3</v>
      </c>
      <c r="I11" s="23">
        <v>2.3283332346869271E-3</v>
      </c>
    </row>
    <row r="12" spans="1:11" x14ac:dyDescent="0.25">
      <c r="A12" t="str">
        <v>JNJ</v>
      </c>
      <c r="B12" s="23">
        <v>1.5096923236469046E-3</v>
      </c>
      <c r="C12" s="23">
        <v>3.2587411165652325E-4</v>
      </c>
      <c r="D12" s="23">
        <v>1.1223169275120042E-3</v>
      </c>
      <c r="E12" s="23">
        <v>2.1544120436293372E-3</v>
      </c>
      <c r="F12" s="23">
        <v>9.5276915145425334E-4</v>
      </c>
      <c r="G12" s="23">
        <v>1.0734612299308749E-3</v>
      </c>
      <c r="H12" s="23">
        <v>1.3542272854426428E-3</v>
      </c>
      <c r="I12" s="23">
        <v>6.0516345715010535E-5</v>
      </c>
    </row>
    <row r="13" spans="1:11" x14ac:dyDescent="0.25">
      <c r="A13" t="str">
        <v>VZ</v>
      </c>
      <c r="B13" s="23">
        <v>1.2158844635327497E-3</v>
      </c>
      <c r="C13" s="23">
        <v>6.8862861142991564E-4</v>
      </c>
      <c r="D13" s="23">
        <v>8.8362389040491955E-4</v>
      </c>
      <c r="E13" s="23">
        <v>9.5276915145425334E-4</v>
      </c>
      <c r="F13" s="23">
        <v>2.6241756140961822E-3</v>
      </c>
      <c r="G13" s="23">
        <v>8.8324802021452298E-4</v>
      </c>
      <c r="H13" s="23">
        <v>8.417132777846757E-4</v>
      </c>
      <c r="I13" s="23">
        <v>1.8217927630961715E-4</v>
      </c>
    </row>
    <row r="14" spans="1:11" x14ac:dyDescent="0.25">
      <c r="A14" t="str">
        <v>WMT</v>
      </c>
      <c r="B14" s="23">
        <v>6.8937806703447946E-4</v>
      </c>
      <c r="C14" s="23">
        <v>4.8384967042694606E-4</v>
      </c>
      <c r="D14" s="23">
        <v>1.1779240811207882E-3</v>
      </c>
      <c r="E14" s="23">
        <v>1.0734612299308749E-3</v>
      </c>
      <c r="F14" s="23">
        <v>8.8324802021452298E-4</v>
      </c>
      <c r="G14" s="23">
        <v>2.695049866504296E-3</v>
      </c>
      <c r="H14" s="23">
        <v>7.7235706303687031E-4</v>
      </c>
      <c r="I14" s="23">
        <v>7.6610458830586516E-4</v>
      </c>
    </row>
    <row r="15" spans="1:11" x14ac:dyDescent="0.25">
      <c r="A15" t="str">
        <v>BAC</v>
      </c>
      <c r="B15" s="23">
        <v>4.1741886132193561E-3</v>
      </c>
      <c r="C15" s="23">
        <v>5.0560908431775495E-3</v>
      </c>
      <c r="D15" s="23">
        <v>3.1122945120751061E-3</v>
      </c>
      <c r="E15" s="23">
        <v>1.3542272854426428E-3</v>
      </c>
      <c r="F15" s="23">
        <v>8.417132777846757E-4</v>
      </c>
      <c r="G15" s="23">
        <v>7.7235706303687031E-4</v>
      </c>
      <c r="H15" s="23">
        <v>8.2758541414611683E-3</v>
      </c>
      <c r="I15" s="23">
        <v>3.7892337026891923E-3</v>
      </c>
    </row>
    <row r="16" spans="1:11" x14ac:dyDescent="0.25">
      <c r="A16" t="str">
        <v>NFLX</v>
      </c>
      <c r="B16" s="23">
        <v>7.9406000619153879E-4</v>
      </c>
      <c r="C16" s="23">
        <v>4.2244661586516843E-3</v>
      </c>
      <c r="D16" s="23">
        <v>2.3283332346869271E-3</v>
      </c>
      <c r="E16" s="23">
        <v>6.0516345715010535E-5</v>
      </c>
      <c r="F16" s="23">
        <v>1.8217927630961715E-4</v>
      </c>
      <c r="G16" s="23">
        <v>7.6610458830586516E-4</v>
      </c>
      <c r="H16" s="23">
        <v>3.7892337026891923E-3</v>
      </c>
      <c r="I16" s="23">
        <v>1.4580741283638128E-2</v>
      </c>
    </row>
    <row r="17" spans="1:3" x14ac:dyDescent="0.25">
      <c r="B17" s="27"/>
    </row>
    <row r="18" spans="1:3" x14ac:dyDescent="0.25">
      <c r="A18" s="42" t="s">
        <v>75</v>
      </c>
      <c r="B18" s="42" t="s">
        <v>30</v>
      </c>
      <c r="C18" s="42" t="s">
        <v>55</v>
      </c>
    </row>
    <row r="19" spans="1:3" x14ac:dyDescent="0.25">
      <c r="A19" s="42" t="s">
        <v>56</v>
      </c>
      <c r="B19" s="24">
        <f>K6</f>
        <v>1.5307231414228618E-2</v>
      </c>
      <c r="C19" s="25">
        <f>B19*12</f>
        <v>0.18368677697074343</v>
      </c>
    </row>
    <row r="20" spans="1:3" x14ac:dyDescent="0.25">
      <c r="A20" s="42" t="s">
        <v>57</v>
      </c>
      <c r="B20" s="23">
        <f>SQRT(B21)</f>
        <v>4.6344001910362302E-2</v>
      </c>
      <c r="C20" s="23">
        <f>B20*SQRT(12)</f>
        <v>0.16054033186963323</v>
      </c>
    </row>
    <row r="21" spans="1:3" x14ac:dyDescent="0.25">
      <c r="A21" s="42" t="s">
        <v>58</v>
      </c>
      <c r="B21" s="23" cm="1">
        <f t="array" ref="B21">MMULT(MMULT(B5:I5,B9:I16),TRANSPOSE(B5:I5))</f>
        <v>2.1477665130676645E-3</v>
      </c>
      <c r="C21" s="23">
        <f>B21*12</f>
        <v>2.5773198156811974E-2</v>
      </c>
    </row>
    <row r="22" spans="1:3" x14ac:dyDescent="0.25">
      <c r="A22" s="42" t="s">
        <v>46</v>
      </c>
      <c r="B22" s="23">
        <f>C22/12</f>
        <v>2.5000000000000001E-3</v>
      </c>
      <c r="C22" s="23">
        <v>0.03</v>
      </c>
    </row>
    <row r="23" spans="1:3" x14ac:dyDescent="0.25">
      <c r="A23" s="42" t="s">
        <v>59</v>
      </c>
      <c r="B23" s="49">
        <f>(B19-B22)/B20</f>
        <v>0.27635143462578227</v>
      </c>
      <c r="C23" s="24">
        <f>(C19-C22)/C20</f>
        <v>0.95730945103280818</v>
      </c>
    </row>
    <row r="26" spans="1:3" ht="30" x14ac:dyDescent="0.25">
      <c r="A26" s="60" t="s">
        <v>62</v>
      </c>
    </row>
    <row r="27" spans="1:3" ht="30" x14ac:dyDescent="0.25">
      <c r="A27" s="61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workbookViewId="0">
      <selection activeCell="F26" sqref="F26"/>
    </sheetView>
  </sheetViews>
  <sheetFormatPr defaultColWidth="9.140625" defaultRowHeight="15" x14ac:dyDescent="0.25"/>
  <cols>
    <col min="1" max="1" width="34.28515625" bestFit="1" customWidth="1"/>
  </cols>
  <sheetData>
    <row r="1" spans="1:10" x14ac:dyDescent="0.25">
      <c r="A1" s="39" t="s">
        <v>30</v>
      </c>
      <c r="B1" s="44"/>
      <c r="C1" s="44"/>
      <c r="D1" s="38"/>
      <c r="E1" s="38"/>
      <c r="F1" s="38"/>
      <c r="G1" s="38"/>
      <c r="H1" s="38"/>
      <c r="I1" s="39" t="s">
        <v>50</v>
      </c>
      <c r="J1" s="39">
        <f>COUNTA(B2:I2)</f>
        <v>8</v>
      </c>
    </row>
    <row r="2" spans="1:10" x14ac:dyDescent="0.25">
      <c r="A2" s="42"/>
      <c r="B2" s="42" t="s">
        <v>31</v>
      </c>
      <c r="C2" s="42" t="s">
        <v>32</v>
      </c>
      <c r="D2" s="42" t="s">
        <v>33</v>
      </c>
      <c r="E2" s="42" t="s">
        <v>34</v>
      </c>
      <c r="F2" s="42" t="s">
        <v>35</v>
      </c>
      <c r="G2" s="42" t="s">
        <v>36</v>
      </c>
      <c r="H2" s="42" t="s">
        <v>37</v>
      </c>
      <c r="I2" s="42" t="s">
        <v>38</v>
      </c>
      <c r="J2" s="42" t="s">
        <v>52</v>
      </c>
    </row>
    <row r="3" spans="1:10" x14ac:dyDescent="0.25">
      <c r="A3" s="42" t="s">
        <v>72</v>
      </c>
      <c r="B3" s="25">
        <f>Inputs!B3</f>
        <v>1.000647216839449E-2</v>
      </c>
      <c r="C3" s="25">
        <f>Inputs!C3</f>
        <v>2.7939852688329361E-3</v>
      </c>
      <c r="D3" s="25">
        <f>Inputs!D3</f>
        <v>1.4139893652706329E-2</v>
      </c>
      <c r="E3" s="25">
        <f>Inputs!E3</f>
        <v>7.7462473006259342E-3</v>
      </c>
      <c r="F3" s="25">
        <f>Inputs!F3</f>
        <v>3.2866288365767105E-3</v>
      </c>
      <c r="G3" s="25">
        <f>Inputs!G3</f>
        <v>1.2912393172579565E-2</v>
      </c>
      <c r="H3" s="25">
        <f>Inputs!H3</f>
        <v>1.3215150827212105E-2</v>
      </c>
      <c r="I3" s="25">
        <f>Inputs!I3</f>
        <v>2.289401301338027E-2</v>
      </c>
      <c r="J3" s="22"/>
    </row>
    <row r="4" spans="1:10" x14ac:dyDescent="0.25">
      <c r="A4" s="42" t="s">
        <v>40</v>
      </c>
      <c r="B4" s="25">
        <f>Inputs!B4</f>
        <v>8.4575546340940555E-2</v>
      </c>
      <c r="C4" s="25">
        <f>Inputs!C4</f>
        <v>0.10701118826119829</v>
      </c>
      <c r="D4" s="25">
        <f>Inputs!D4</f>
        <v>6.4818622536287687E-2</v>
      </c>
      <c r="E4" s="25">
        <f>Inputs!E4</f>
        <v>4.641564438451045E-2</v>
      </c>
      <c r="F4" s="25">
        <f>Inputs!F4</f>
        <v>5.1226708015411085E-2</v>
      </c>
      <c r="G4" s="25">
        <f>Inputs!G4</f>
        <v>5.1913869693024202E-2</v>
      </c>
      <c r="H4" s="25">
        <f>Inputs!H4</f>
        <v>9.0971721658222843E-2</v>
      </c>
      <c r="I4" s="25">
        <f>Inputs!I4</f>
        <v>0.12075074030265043</v>
      </c>
      <c r="J4" s="22"/>
    </row>
    <row r="5" spans="1:10" x14ac:dyDescent="0.25">
      <c r="A5" s="42" t="s">
        <v>42</v>
      </c>
      <c r="B5" s="52">
        <v>0.23403736415264759</v>
      </c>
      <c r="C5" s="52">
        <v>-0.25274876381842337</v>
      </c>
      <c r="D5" s="52">
        <v>0.28807916644365505</v>
      </c>
      <c r="E5" s="52">
        <v>1.9295429553447065E-2</v>
      </c>
      <c r="F5" s="52">
        <v>-0.36608380557428782</v>
      </c>
      <c r="G5" s="52">
        <v>0.74297781915372452</v>
      </c>
      <c r="H5" s="52">
        <v>5.5245280847473821E-2</v>
      </c>
      <c r="I5" s="52">
        <v>0.27919750955131506</v>
      </c>
      <c r="J5" s="22">
        <f>SUM(B5:I5)</f>
        <v>1.0000000003095519</v>
      </c>
    </row>
    <row r="6" spans="1:10" x14ac:dyDescent="0.25">
      <c r="A6" s="42" t="s">
        <v>53</v>
      </c>
      <c r="B6" s="24">
        <f t="shared" ref="B6:I6" si="0">B3*B5</f>
        <v>2.3418883707578744E-3</v>
      </c>
      <c r="C6" s="24">
        <f t="shared" si="0"/>
        <v>-7.0617632282440987E-4</v>
      </c>
      <c r="D6" s="24">
        <f t="shared" si="0"/>
        <v>4.0734087770735684E-3</v>
      </c>
      <c r="E6" s="24">
        <f t="shared" si="0"/>
        <v>1.4946716909280722E-4</v>
      </c>
      <c r="F6" s="24">
        <f t="shared" si="0"/>
        <v>-1.2031815920041963E-3</v>
      </c>
      <c r="G6" s="24">
        <f t="shared" si="0"/>
        <v>9.5936217194186064E-3</v>
      </c>
      <c r="H6" s="24">
        <f t="shared" si="0"/>
        <v>7.3007471889105871E-4</v>
      </c>
      <c r="I6" s="24">
        <f t="shared" si="0"/>
        <v>6.3919514169711693E-3</v>
      </c>
      <c r="J6" s="24">
        <f>SUM(B6:I6)</f>
        <v>2.1371054257376478E-2</v>
      </c>
    </row>
    <row r="7" spans="1:10" x14ac:dyDescent="0.25">
      <c r="A7" s="17"/>
    </row>
    <row r="8" spans="1:10" x14ac:dyDescent="0.25">
      <c r="A8" s="42" t="str" cm="1">
        <f t="array" ref="A8:I16">Inputs!A22:I30</f>
        <v>Samle covariance matrix</v>
      </c>
      <c r="B8" t="str">
        <v>XOM</v>
      </c>
      <c r="C8" t="str">
        <v>GE</v>
      </c>
      <c r="D8" t="str">
        <v>HD</v>
      </c>
      <c r="E8" t="str">
        <v>JNJ</v>
      </c>
      <c r="F8" t="str">
        <v>VZ</v>
      </c>
      <c r="G8" t="str">
        <v>WMT</v>
      </c>
      <c r="H8" t="str">
        <v>BAC</v>
      </c>
      <c r="I8" t="str">
        <v>NFLX</v>
      </c>
    </row>
    <row r="9" spans="1:10" x14ac:dyDescent="0.25">
      <c r="A9" t="str">
        <v>XOM</v>
      </c>
      <c r="B9" s="23">
        <v>7.1530230388685851E-3</v>
      </c>
      <c r="C9" s="23">
        <v>4.0423296223558672E-3</v>
      </c>
      <c r="D9" s="23">
        <v>1.6739094671237452E-3</v>
      </c>
      <c r="E9" s="23">
        <v>1.5096923236469046E-3</v>
      </c>
      <c r="F9" s="23">
        <v>1.2158844635327497E-3</v>
      </c>
      <c r="G9" s="23">
        <v>6.8937806703447946E-4</v>
      </c>
      <c r="H9" s="23">
        <v>4.1741886132193561E-3</v>
      </c>
      <c r="I9" s="23">
        <v>7.9406000619153879E-4</v>
      </c>
    </row>
    <row r="10" spans="1:10" x14ac:dyDescent="0.25">
      <c r="A10" t="str">
        <v>GE</v>
      </c>
      <c r="B10" s="23">
        <v>4.0423296223558672E-3</v>
      </c>
      <c r="C10" s="23">
        <v>1.1451394413073622E-2</v>
      </c>
      <c r="D10" s="23">
        <v>1.5333245441087784E-3</v>
      </c>
      <c r="E10" s="23">
        <v>3.2587411165652325E-4</v>
      </c>
      <c r="F10" s="23">
        <v>6.8862861142991564E-4</v>
      </c>
      <c r="G10" s="23">
        <v>4.8384967042694606E-4</v>
      </c>
      <c r="H10" s="23">
        <v>5.0560908431775495E-3</v>
      </c>
      <c r="I10" s="23">
        <v>4.2244661586516843E-3</v>
      </c>
    </row>
    <row r="11" spans="1:10" x14ac:dyDescent="0.25">
      <c r="A11" t="str">
        <v>HD</v>
      </c>
      <c r="B11" s="23">
        <v>1.6739094671237452E-3</v>
      </c>
      <c r="C11" s="23">
        <v>1.5333245441087784E-3</v>
      </c>
      <c r="D11" s="23">
        <v>4.2014538275017416E-3</v>
      </c>
      <c r="E11" s="23">
        <v>1.1223169275120042E-3</v>
      </c>
      <c r="F11" s="23">
        <v>8.8362389040491955E-4</v>
      </c>
      <c r="G11" s="23">
        <v>1.1779240811207882E-3</v>
      </c>
      <c r="H11" s="23">
        <v>3.1122945120751061E-3</v>
      </c>
      <c r="I11" s="23">
        <v>2.3283332346869271E-3</v>
      </c>
    </row>
    <row r="12" spans="1:10" x14ac:dyDescent="0.25">
      <c r="A12" t="str">
        <v>JNJ</v>
      </c>
      <c r="B12" s="23">
        <v>1.5096923236469046E-3</v>
      </c>
      <c r="C12" s="23">
        <v>3.2587411165652325E-4</v>
      </c>
      <c r="D12" s="23">
        <v>1.1223169275120042E-3</v>
      </c>
      <c r="E12" s="23">
        <v>2.1544120436293372E-3</v>
      </c>
      <c r="F12" s="23">
        <v>9.5276915145425334E-4</v>
      </c>
      <c r="G12" s="23">
        <v>1.0734612299308749E-3</v>
      </c>
      <c r="H12" s="23">
        <v>1.3542272854426428E-3</v>
      </c>
      <c r="I12" s="23">
        <v>6.0516345715010535E-5</v>
      </c>
    </row>
    <row r="13" spans="1:10" x14ac:dyDescent="0.25">
      <c r="A13" t="str">
        <v>VZ</v>
      </c>
      <c r="B13" s="23">
        <v>1.2158844635327497E-3</v>
      </c>
      <c r="C13" s="23">
        <v>6.8862861142991564E-4</v>
      </c>
      <c r="D13" s="23">
        <v>8.8362389040491955E-4</v>
      </c>
      <c r="E13" s="23">
        <v>9.5276915145425334E-4</v>
      </c>
      <c r="F13" s="23">
        <v>2.6241756140961822E-3</v>
      </c>
      <c r="G13" s="23">
        <v>8.8324802021452298E-4</v>
      </c>
      <c r="H13" s="23">
        <v>8.417132777846757E-4</v>
      </c>
      <c r="I13" s="23">
        <v>1.8217927630961715E-4</v>
      </c>
    </row>
    <row r="14" spans="1:10" x14ac:dyDescent="0.25">
      <c r="A14" t="str">
        <v>WMT</v>
      </c>
      <c r="B14" s="23">
        <v>6.8937806703447946E-4</v>
      </c>
      <c r="C14" s="23">
        <v>4.8384967042694606E-4</v>
      </c>
      <c r="D14" s="23">
        <v>1.1779240811207882E-3</v>
      </c>
      <c r="E14" s="23">
        <v>1.0734612299308749E-3</v>
      </c>
      <c r="F14" s="23">
        <v>8.8324802021452298E-4</v>
      </c>
      <c r="G14" s="23">
        <v>2.695049866504296E-3</v>
      </c>
      <c r="H14" s="23">
        <v>7.7235706303687031E-4</v>
      </c>
      <c r="I14" s="23">
        <v>7.6610458830586516E-4</v>
      </c>
    </row>
    <row r="15" spans="1:10" x14ac:dyDescent="0.25">
      <c r="A15" t="str">
        <v>BAC</v>
      </c>
      <c r="B15" s="23">
        <v>4.1741886132193561E-3</v>
      </c>
      <c r="C15" s="23">
        <v>5.0560908431775495E-3</v>
      </c>
      <c r="D15" s="23">
        <v>3.1122945120751061E-3</v>
      </c>
      <c r="E15" s="23">
        <v>1.3542272854426428E-3</v>
      </c>
      <c r="F15" s="23">
        <v>8.417132777846757E-4</v>
      </c>
      <c r="G15" s="23">
        <v>7.7235706303687031E-4</v>
      </c>
      <c r="H15" s="23">
        <v>8.2758541414611683E-3</v>
      </c>
      <c r="I15" s="23">
        <v>3.7892337026891923E-3</v>
      </c>
    </row>
    <row r="16" spans="1:10" x14ac:dyDescent="0.25">
      <c r="A16" t="str">
        <v>NFLX</v>
      </c>
      <c r="B16" s="23">
        <v>7.9406000619153879E-4</v>
      </c>
      <c r="C16" s="23">
        <v>4.2244661586516843E-3</v>
      </c>
      <c r="D16" s="23">
        <v>2.3283332346869271E-3</v>
      </c>
      <c r="E16" s="23">
        <v>6.0516345715010535E-5</v>
      </c>
      <c r="F16" s="23">
        <v>1.8217927630961715E-4</v>
      </c>
      <c r="G16" s="23">
        <v>7.6610458830586516E-4</v>
      </c>
      <c r="H16" s="23">
        <v>3.7892337026891923E-3</v>
      </c>
      <c r="I16" s="23">
        <v>1.4580741283638128E-2</v>
      </c>
    </row>
    <row r="17" spans="1:3" x14ac:dyDescent="0.25">
      <c r="B17" s="27"/>
    </row>
    <row r="18" spans="1:3" x14ac:dyDescent="0.25">
      <c r="A18" s="42" t="s">
        <v>77</v>
      </c>
      <c r="B18" s="42" t="s">
        <v>30</v>
      </c>
      <c r="C18" s="42" t="s">
        <v>55</v>
      </c>
    </row>
    <row r="19" spans="1:3" x14ac:dyDescent="0.25">
      <c r="A19" s="42" t="s">
        <v>56</v>
      </c>
      <c r="B19" s="24">
        <f>AVERAGE(J6)</f>
        <v>2.1371054257376478E-2</v>
      </c>
      <c r="C19" s="25">
        <f>B19*12</f>
        <v>0.25645265108851772</v>
      </c>
    </row>
    <row r="20" spans="1:3" x14ac:dyDescent="0.25">
      <c r="A20" s="42" t="s">
        <v>57</v>
      </c>
      <c r="B20" s="15">
        <f>SQRT(B21)</f>
        <v>6.5048381358877597E-2</v>
      </c>
      <c r="C20" s="15">
        <f>B20*SQRT(12)</f>
        <v>0.22533420292738449</v>
      </c>
    </row>
    <row r="21" spans="1:3" x14ac:dyDescent="0.25">
      <c r="A21" s="42" t="s">
        <v>58</v>
      </c>
      <c r="B21" s="15" cm="1">
        <f t="array" ref="B21">MMULT(MMULT(B5:I5,B9:I16),TRANSPOSE(B5:I5))</f>
        <v>4.2312919174099742E-3</v>
      </c>
      <c r="C21" s="15">
        <f>B21*12</f>
        <v>5.0775503008919691E-2</v>
      </c>
    </row>
    <row r="22" spans="1:3" x14ac:dyDescent="0.25">
      <c r="A22" s="42" t="s">
        <v>46</v>
      </c>
      <c r="B22" s="23">
        <f>C22/12</f>
        <v>2.5000000000000001E-3</v>
      </c>
      <c r="C22" s="15">
        <v>0.03</v>
      </c>
    </row>
    <row r="23" spans="1:3" x14ac:dyDescent="0.25">
      <c r="A23" s="42" t="s">
        <v>59</v>
      </c>
      <c r="B23" s="49">
        <f>(B19-B22)/B20</f>
        <v>0.2901079759888755</v>
      </c>
      <c r="C23" s="24">
        <f>(C19-C22)/C20</f>
        <v>1.0049635081874084</v>
      </c>
    </row>
    <row r="26" spans="1:3" ht="30" x14ac:dyDescent="0.25">
      <c r="A26" s="60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2CF1-1BAF-4CEF-A9E8-14774E9D07A5}">
  <dimension ref="A1:L3"/>
  <sheetViews>
    <sheetView topLeftCell="A4" zoomScaleNormal="100" workbookViewId="0">
      <selection activeCell="A4" sqref="A4"/>
    </sheetView>
  </sheetViews>
  <sheetFormatPr defaultColWidth="8.7109375" defaultRowHeight="15" x14ac:dyDescent="0.25"/>
  <cols>
    <col min="1" max="1" width="11" style="16" bestFit="1" customWidth="1"/>
    <col min="2" max="11" width="10.5703125" style="16" bestFit="1" customWidth="1"/>
    <col min="12" max="12" width="13.42578125" style="16" bestFit="1" customWidth="1"/>
    <col min="13" max="16384" width="8.7109375" style="16"/>
  </cols>
  <sheetData>
    <row r="1" spans="1:12" x14ac:dyDescent="0.25">
      <c r="A1" s="64" t="s">
        <v>78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10</v>
      </c>
      <c r="K1" s="63" t="s">
        <v>79</v>
      </c>
      <c r="L1" s="63" t="s">
        <v>80</v>
      </c>
    </row>
    <row r="2" spans="1:12" x14ac:dyDescent="0.25">
      <c r="A2" s="65" t="s">
        <v>56</v>
      </c>
      <c r="B2" s="33">
        <f>Inputs!B5</f>
        <v>0.12007766602073389</v>
      </c>
      <c r="C2" s="33">
        <f>Inputs!C5</f>
        <v>3.3527823225995235E-2</v>
      </c>
      <c r="D2" s="33">
        <f>Inputs!D5</f>
        <v>0.16967872383247595</v>
      </c>
      <c r="E2" s="33">
        <f>Inputs!E5</f>
        <v>9.2954967607511207E-2</v>
      </c>
      <c r="F2" s="33">
        <f>Inputs!F5</f>
        <v>3.9439546038920525E-2</v>
      </c>
      <c r="G2" s="33">
        <f>Inputs!G5</f>
        <v>0.15494871807095478</v>
      </c>
      <c r="H2" s="33">
        <f>Inputs!H5</f>
        <v>0.15858180992654525</v>
      </c>
      <c r="I2" s="33">
        <f>Inputs!I5</f>
        <v>0.27472815616056323</v>
      </c>
      <c r="J2" s="26">
        <f>AVERAGE(Data!K2:K97)*12</f>
        <v>0.11922758393500002</v>
      </c>
      <c r="K2" s="26">
        <f>'Min Variance Portfolio'!C20</f>
        <v>0.10082655102764229</v>
      </c>
      <c r="L2" s="26">
        <f>'Best Portfolio'!C19</f>
        <v>0.25645265108851772</v>
      </c>
    </row>
    <row r="3" spans="1:12" x14ac:dyDescent="0.25">
      <c r="A3" s="65" t="s">
        <v>57</v>
      </c>
      <c r="B3" s="33">
        <f>Inputs!B6</f>
        <v>0.29297828668081016</v>
      </c>
      <c r="C3" s="33">
        <f>Inputs!C6</f>
        <v>0.37069763009342732</v>
      </c>
      <c r="D3" s="33">
        <f>Inputs!D6</f>
        <v>0.22453829501895861</v>
      </c>
      <c r="E3" s="33">
        <f>Inputs!E6</f>
        <v>0.1607885086800423</v>
      </c>
      <c r="F3" s="33">
        <f>Inputs!F6</f>
        <v>0.1774545219743757</v>
      </c>
      <c r="G3" s="33">
        <f>Inputs!G6</f>
        <v>0.17983491985165606</v>
      </c>
      <c r="H3" s="33">
        <f>Inputs!H6</f>
        <v>0.31513528792811196</v>
      </c>
      <c r="I3" s="33">
        <f>Inputs!I6</f>
        <v>0.41829283451149091</v>
      </c>
      <c r="J3" s="26">
        <f>_xlfn.STDEV.S(Data!K2:K97)*SQRT(12)</f>
        <v>0.16054033187162262</v>
      </c>
      <c r="K3" s="26">
        <f>'Min Variance Portfolio'!C21</f>
        <v>0.12601920080426743</v>
      </c>
      <c r="L3" s="26">
        <f>'Best Portfolio'!C20</f>
        <v>0.22533420292738449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5508-DD7C-4991-897C-24FF3EED51E4}">
  <dimension ref="A1:P10"/>
  <sheetViews>
    <sheetView workbookViewId="0">
      <selection activeCell="H16" sqref="H16"/>
    </sheetView>
  </sheetViews>
  <sheetFormatPr defaultRowHeight="15" x14ac:dyDescent="0.25"/>
  <cols>
    <col min="1" max="1" width="28.28515625" bestFit="1" customWidth="1"/>
    <col min="2" max="2" width="6.5703125" bestFit="1" customWidth="1"/>
    <col min="3" max="3" width="8.42578125" bestFit="1" customWidth="1"/>
    <col min="4" max="4" width="10.42578125" bestFit="1" customWidth="1"/>
    <col min="5" max="5" width="12.7109375" hidden="1" customWidth="1"/>
    <col min="6" max="6" width="11.7109375" bestFit="1" customWidth="1"/>
    <col min="7" max="7" width="13.7109375" customWidth="1"/>
    <col min="8" max="8" width="22" customWidth="1"/>
    <col min="9" max="9" width="16.7109375" bestFit="1" customWidth="1"/>
    <col min="10" max="10" width="15.140625" bestFit="1" customWidth="1"/>
    <col min="11" max="11" width="15.28515625" bestFit="1" customWidth="1"/>
    <col min="12" max="12" width="18.28515625" bestFit="1" customWidth="1"/>
    <col min="13" max="13" width="26.7109375" bestFit="1" customWidth="1"/>
    <col min="14" max="14" width="11.7109375" bestFit="1" customWidth="1"/>
    <col min="15" max="15" width="20.140625" bestFit="1" customWidth="1"/>
  </cols>
  <sheetData>
    <row r="1" spans="1:16" x14ac:dyDescent="0.25">
      <c r="A1" s="44"/>
      <c r="B1" s="44"/>
      <c r="C1" s="44"/>
      <c r="D1" s="44"/>
      <c r="E1" s="44"/>
      <c r="F1" s="44"/>
      <c r="H1" s="43"/>
      <c r="I1" s="82" t="s">
        <v>42</v>
      </c>
      <c r="J1" s="82"/>
      <c r="K1" s="82"/>
      <c r="L1" s="82"/>
      <c r="M1" s="82"/>
      <c r="N1" s="82"/>
      <c r="O1" s="82"/>
      <c r="P1" s="82"/>
    </row>
    <row r="2" spans="1:16" x14ac:dyDescent="0.25">
      <c r="A2" s="43"/>
      <c r="B2" t="s">
        <v>56</v>
      </c>
      <c r="C2" t="s">
        <v>57</v>
      </c>
      <c r="D2" t="s">
        <v>58</v>
      </c>
      <c r="E2" t="s">
        <v>46</v>
      </c>
      <c r="F2" t="s">
        <v>59</v>
      </c>
      <c r="G2" s="17"/>
      <c r="H2" s="43" t="s">
        <v>81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</row>
    <row r="3" spans="1:16" x14ac:dyDescent="0.25">
      <c r="A3" s="42" t="s">
        <v>82</v>
      </c>
      <c r="B3" s="23">
        <v>0.13049217636046251</v>
      </c>
      <c r="C3" s="23">
        <v>0.1646359975866751</v>
      </c>
      <c r="D3" s="23"/>
      <c r="E3" s="23">
        <v>0.03</v>
      </c>
      <c r="F3" s="23">
        <v>0.61039005948596925</v>
      </c>
      <c r="H3" s="42" t="s">
        <v>82</v>
      </c>
      <c r="I3" s="15">
        <v>0.125</v>
      </c>
      <c r="J3" s="15">
        <v>0.125</v>
      </c>
      <c r="K3" s="15">
        <v>0.125</v>
      </c>
      <c r="L3" s="15">
        <v>0.125</v>
      </c>
      <c r="M3" s="15">
        <v>0.125</v>
      </c>
      <c r="N3" s="15">
        <v>0.125</v>
      </c>
      <c r="O3" s="15">
        <v>0.125</v>
      </c>
      <c r="P3" s="15">
        <v>0.125</v>
      </c>
    </row>
    <row r="4" spans="1:16" x14ac:dyDescent="0.25">
      <c r="A4" s="42" t="s">
        <v>54</v>
      </c>
      <c r="B4" s="23">
        <v>0.10082655102764229</v>
      </c>
      <c r="C4" s="23">
        <v>0.12601920080426743</v>
      </c>
      <c r="D4" s="23">
        <v>1.5880838971346279E-2</v>
      </c>
      <c r="E4" s="23">
        <v>0.03</v>
      </c>
      <c r="F4" s="23">
        <v>0.56202983811689011</v>
      </c>
      <c r="H4" s="42" t="s">
        <v>54</v>
      </c>
      <c r="I4" s="25">
        <v>6.8065018495216704E-3</v>
      </c>
      <c r="J4" s="25">
        <v>6.7506951673828017E-2</v>
      </c>
      <c r="K4" s="25">
        <v>8.0151284773561912E-2</v>
      </c>
      <c r="L4" s="25">
        <v>0.36373043804934629</v>
      </c>
      <c r="M4" s="25">
        <v>0.26524288030064525</v>
      </c>
      <c r="N4" s="25">
        <v>0.20803383829054695</v>
      </c>
      <c r="O4" s="25">
        <v>-4.5604673629380192E-2</v>
      </c>
      <c r="P4" s="25">
        <v>5.4132779014601028E-2</v>
      </c>
    </row>
    <row r="5" spans="1:16" x14ac:dyDescent="0.25">
      <c r="A5" s="42" t="s">
        <v>61</v>
      </c>
      <c r="B5" s="23">
        <v>0.17729033371648023</v>
      </c>
      <c r="C5" s="23">
        <v>0.16228433072207143</v>
      </c>
      <c r="D5" s="23">
        <v>2.6336203997910659E-2</v>
      </c>
      <c r="E5" s="23">
        <v>0.03</v>
      </c>
      <c r="F5" s="23">
        <v>0.9076066251197723</v>
      </c>
      <c r="H5" s="42" t="s">
        <v>61</v>
      </c>
      <c r="I5" s="25">
        <v>6.3202567630172568E-2</v>
      </c>
      <c r="J5" s="25">
        <v>0</v>
      </c>
      <c r="K5" s="25">
        <v>0.2185077242462348</v>
      </c>
      <c r="L5" s="25">
        <v>1.2040631626640517E-2</v>
      </c>
      <c r="M5" s="25">
        <v>0</v>
      </c>
      <c r="N5" s="25">
        <v>0.52196553005092727</v>
      </c>
      <c r="O5" s="25">
        <v>0</v>
      </c>
      <c r="P5" s="25">
        <v>0.1842835460965884</v>
      </c>
    </row>
    <row r="6" spans="1:16" x14ac:dyDescent="0.25">
      <c r="A6" s="42" t="s">
        <v>73</v>
      </c>
      <c r="B6" s="23">
        <v>0.17804983538202868</v>
      </c>
      <c r="C6" s="23">
        <v>0.16895557023704749</v>
      </c>
      <c r="D6" s="23">
        <v>2.8545984714125887E-2</v>
      </c>
      <c r="E6" s="23">
        <v>0.03</v>
      </c>
      <c r="F6" s="23">
        <v>0.8762648971816217</v>
      </c>
      <c r="H6" s="42" t="s">
        <v>73</v>
      </c>
      <c r="I6" s="25">
        <v>0.19487152067816443</v>
      </c>
      <c r="J6" s="25">
        <v>-0.16873597876445143</v>
      </c>
      <c r="K6" s="25">
        <v>0.2</v>
      </c>
      <c r="L6" s="25">
        <v>0.2</v>
      </c>
      <c r="M6" s="25">
        <v>4.8063445215998417E-2</v>
      </c>
      <c r="N6" s="25">
        <v>0.2</v>
      </c>
      <c r="O6" s="25">
        <v>0.12580102653335509</v>
      </c>
      <c r="P6" s="25">
        <v>0.19999999999999998</v>
      </c>
    </row>
    <row r="7" spans="1:16" x14ac:dyDescent="0.25">
      <c r="A7" s="42" t="s">
        <v>75</v>
      </c>
      <c r="B7" s="23">
        <v>0.18368677697074343</v>
      </c>
      <c r="C7" s="23">
        <v>0.16054033186963323</v>
      </c>
      <c r="D7" s="23">
        <v>2.5773198156811974E-2</v>
      </c>
      <c r="E7" s="23">
        <v>0.03</v>
      </c>
      <c r="F7" s="23">
        <v>0.95730945103280818</v>
      </c>
      <c r="H7" s="42" t="s">
        <v>75</v>
      </c>
      <c r="I7" s="25">
        <v>0.12693997455999592</v>
      </c>
      <c r="J7" s="25">
        <v>-0.10350985184649841</v>
      </c>
      <c r="K7" s="25">
        <v>0.18953871160300603</v>
      </c>
      <c r="L7" s="25">
        <v>0.17991923490450318</v>
      </c>
      <c r="M7" s="25">
        <v>-7.0325488229454683E-2</v>
      </c>
      <c r="N7" s="25">
        <v>0.49313489513287678</v>
      </c>
      <c r="O7" s="25">
        <v>1.0681345947769677E-2</v>
      </c>
      <c r="P7" s="25">
        <v>0.17362117792781009</v>
      </c>
    </row>
    <row r="8" spans="1:16" x14ac:dyDescent="0.25">
      <c r="A8" s="42" t="s">
        <v>77</v>
      </c>
      <c r="B8" s="23">
        <v>0.25645265108851772</v>
      </c>
      <c r="C8" s="23">
        <v>0.22533420292738449</v>
      </c>
      <c r="D8" s="23">
        <v>5.0775503008919691E-2</v>
      </c>
      <c r="E8" s="23">
        <v>0.03</v>
      </c>
      <c r="F8" s="23">
        <v>1.0049635081874084</v>
      </c>
      <c r="H8" s="42" t="s">
        <v>77</v>
      </c>
      <c r="I8" s="25">
        <v>0.23403736415264759</v>
      </c>
      <c r="J8" s="25">
        <v>-0.25274876381842337</v>
      </c>
      <c r="K8" s="25">
        <v>0.28807916644365505</v>
      </c>
      <c r="L8" s="25">
        <v>1.9295429553447065E-2</v>
      </c>
      <c r="M8" s="25">
        <v>-0.36608380557428782</v>
      </c>
      <c r="N8" s="25">
        <v>0.74297781915372452</v>
      </c>
      <c r="O8" s="25">
        <v>5.5245280847473821E-2</v>
      </c>
      <c r="P8" s="25">
        <v>0.27919750955131506</v>
      </c>
    </row>
    <row r="9" spans="1:16" x14ac:dyDescent="0.25">
      <c r="H9" s="75" t="s">
        <v>81</v>
      </c>
      <c r="I9" s="76" t="s">
        <v>64</v>
      </c>
      <c r="J9" s="76" t="s">
        <v>65</v>
      </c>
      <c r="K9" s="76" t="s">
        <v>66</v>
      </c>
      <c r="L9" s="76" t="s">
        <v>67</v>
      </c>
      <c r="M9" s="76" t="s">
        <v>68</v>
      </c>
      <c r="N9" s="76" t="s">
        <v>69</v>
      </c>
      <c r="O9" s="76" t="s">
        <v>70</v>
      </c>
      <c r="P9" s="76" t="s">
        <v>71</v>
      </c>
    </row>
    <row r="10" spans="1:16" x14ac:dyDescent="0.25">
      <c r="H10" s="77" t="s">
        <v>27</v>
      </c>
      <c r="I10" s="78" t="s">
        <v>1</v>
      </c>
      <c r="J10" s="78" t="s">
        <v>2</v>
      </c>
      <c r="K10" s="78" t="s">
        <v>3</v>
      </c>
      <c r="L10" s="78" t="s">
        <v>4</v>
      </c>
      <c r="M10" s="78" t="s">
        <v>5</v>
      </c>
      <c r="N10" s="78" t="s">
        <v>6</v>
      </c>
      <c r="O10" s="78" t="s">
        <v>7</v>
      </c>
      <c r="P10" s="78" t="s">
        <v>8</v>
      </c>
    </row>
  </sheetData>
  <mergeCells count="1">
    <mergeCell ref="I1:P1"/>
  </mergeCells>
  <conditionalFormatting sqref="I3:P8">
    <cfRule type="cellIs" dxfId="0" priority="1" operator="less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"/>
  <sheetViews>
    <sheetView workbookViewId="0">
      <selection activeCell="R35" sqref="R35"/>
    </sheetView>
  </sheetViews>
  <sheetFormatPr defaultColWidth="9.140625" defaultRowHeight="15" x14ac:dyDescent="0.25"/>
  <cols>
    <col min="1" max="1" width="10.140625" bestFit="1" customWidth="1"/>
    <col min="2" max="2" width="7.85546875" style="23" bestFit="1" customWidth="1"/>
    <col min="3" max="9" width="9.140625" style="23"/>
    <col min="10" max="10" width="9.85546875" style="23" bestFit="1" customWidth="1"/>
  </cols>
  <sheetData>
    <row r="1" spans="1:10" x14ac:dyDescent="0.25">
      <c r="A1" s="83" t="s">
        <v>83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</row>
    <row r="3" spans="1:10" x14ac:dyDescent="0.25">
      <c r="A3" s="80" t="s">
        <v>0</v>
      </c>
      <c r="B3" s="80" t="s">
        <v>84</v>
      </c>
      <c r="C3" s="80" t="s">
        <v>85</v>
      </c>
      <c r="D3" s="80" t="s">
        <v>86</v>
      </c>
      <c r="E3" s="80" t="s">
        <v>87</v>
      </c>
      <c r="F3" s="80" t="s">
        <v>88</v>
      </c>
      <c r="G3" s="80" t="s">
        <v>89</v>
      </c>
      <c r="H3" s="80" t="s">
        <v>90</v>
      </c>
      <c r="I3" s="80" t="s">
        <v>91</v>
      </c>
      <c r="J3" s="80" t="s">
        <v>92</v>
      </c>
    </row>
    <row r="4" spans="1:10" ht="15.75" thickBot="1" x14ac:dyDescent="0.3">
      <c r="A4" s="81"/>
      <c r="B4" s="81"/>
      <c r="C4" s="81"/>
      <c r="D4" s="81"/>
      <c r="E4" s="81"/>
      <c r="F4" s="81"/>
      <c r="G4" s="81"/>
      <c r="H4" s="81"/>
      <c r="I4" s="81"/>
      <c r="J4" s="81"/>
    </row>
    <row r="5" spans="1:10" x14ac:dyDescent="0.25">
      <c r="A5" s="4">
        <v>42398</v>
      </c>
      <c r="B5" s="23">
        <f>Data!B2-Data!$J2</f>
        <v>-1.3828541221097112E-3</v>
      </c>
      <c r="C5" s="23">
        <f>Data!C2-Data!$J2</f>
        <v>-6.5910568630695346E-2</v>
      </c>
      <c r="D5" s="23">
        <f>Data!D2-Data!$J2</f>
        <v>-4.9173707312345508E-2</v>
      </c>
      <c r="E5" s="23">
        <f>Data!E2-Data!$J2</f>
        <v>1.664455963075161E-2</v>
      </c>
      <c r="F5" s="23">
        <f>Data!F2-Data!$J2</f>
        <v>9.3257853591442105E-2</v>
      </c>
      <c r="G5" s="23">
        <f>Data!G2-Data!$J2</f>
        <v>8.2444885575771329E-2</v>
      </c>
      <c r="H5" s="23">
        <f>Data!H2-Data!$J2</f>
        <v>-0.1599336100578308</v>
      </c>
      <c r="I5" s="23">
        <f>Data!I2-Data!$J2</f>
        <v>-0.19716243276596068</v>
      </c>
      <c r="J5" s="23">
        <f>Data!K2-Data!$J2</f>
        <v>-5.0835340000000007E-2</v>
      </c>
    </row>
    <row r="6" spans="1:10" x14ac:dyDescent="0.25">
      <c r="A6" s="4">
        <v>42429</v>
      </c>
      <c r="B6" s="23">
        <f>Data!B3-Data!$J3</f>
        <v>3.8721043276786805E-2</v>
      </c>
      <c r="C6" s="23">
        <f>Data!C3-Data!$J3</f>
        <v>9.078316050767898E-3</v>
      </c>
      <c r="D6" s="23">
        <f>Data!D3-Data!$J3</f>
        <v>-1.324070744663477E-2</v>
      </c>
      <c r="E6" s="23">
        <f>Data!E3-Data!$J3</f>
        <v>1.4353777873516082E-2</v>
      </c>
      <c r="F6" s="23">
        <f>Data!F3-Data!$J3</f>
        <v>1.5009091827273368E-2</v>
      </c>
      <c r="G6" s="23">
        <f>Data!G3-Data!$J3</f>
        <v>-5.0145075288601218E-4</v>
      </c>
      <c r="H6" s="23">
        <f>Data!H3-Data!$J3</f>
        <v>-0.11476859111785889</v>
      </c>
      <c r="I6" s="23">
        <f>Data!I3-Data!$J3</f>
        <v>1.6895027491450311E-2</v>
      </c>
      <c r="J6" s="23">
        <f>Data!K3-Data!$J3</f>
        <v>-4.3283549999999999E-3</v>
      </c>
    </row>
    <row r="7" spans="1:10" x14ac:dyDescent="0.25">
      <c r="A7" s="4">
        <v>42460</v>
      </c>
      <c r="B7" s="23">
        <f>Data!B4-Data!$J4</f>
        <v>4.2719460684061052E-2</v>
      </c>
      <c r="C7" s="23">
        <f>Data!C4-Data!$J4</f>
        <v>9.0740341353416437E-2</v>
      </c>
      <c r="D7" s="23">
        <f>Data!D4-Data!$J4</f>
        <v>8.0367106604576105E-2</v>
      </c>
      <c r="E7" s="23">
        <f>Data!E4-Data!$J4</f>
        <v>2.8219332578778268E-2</v>
      </c>
      <c r="F7" s="23">
        <f>Data!F4-Data!$J4</f>
        <v>6.5835918891429895E-2</v>
      </c>
      <c r="G7" s="23">
        <f>Data!G4-Data!$J4</f>
        <v>3.9745758879184724E-2</v>
      </c>
      <c r="H7" s="23">
        <f>Data!H4-Data!$J4</f>
        <v>8.3665813910961145E-2</v>
      </c>
      <c r="I7" s="23">
        <f>Data!I4-Data!$J4</f>
        <v>9.4222429800033564E-2</v>
      </c>
      <c r="J7" s="23">
        <f>Data!K4-Data!$J4</f>
        <v>6.579111E-2</v>
      </c>
    </row>
    <row r="8" spans="1:10" x14ac:dyDescent="0.25">
      <c r="A8" s="4">
        <v>42489</v>
      </c>
      <c r="B8" s="23">
        <f>Data!B5-Data!$J5</f>
        <v>5.7442834430932996E-2</v>
      </c>
      <c r="C8" s="23">
        <f>Data!C5-Data!$J5</f>
        <v>-3.2814717090129855E-2</v>
      </c>
      <c r="D8" s="23">
        <f>Data!D5-Data!$J5</f>
        <v>3.3475510474294426E-3</v>
      </c>
      <c r="E8" s="23">
        <f>Data!E5-Data!$J5</f>
        <v>3.5759566181898114E-2</v>
      </c>
      <c r="F8" s="23">
        <f>Data!F5-Data!$J5</f>
        <v>-4.7714701092243197E-2</v>
      </c>
      <c r="G8" s="23">
        <f>Data!G5-Data!$J5</f>
        <v>-2.3753017356991767E-2</v>
      </c>
      <c r="H8" s="23">
        <f>Data!H5-Data!$J5</f>
        <v>7.6823072338104245E-2</v>
      </c>
      <c r="I8" s="23">
        <f>Data!I5-Data!$J5</f>
        <v>-0.11943878809213639</v>
      </c>
      <c r="J8" s="23">
        <f>Data!K5-Data!$J5</f>
        <v>2.5993700000000002E-3</v>
      </c>
    </row>
    <row r="9" spans="1:10" x14ac:dyDescent="0.25">
      <c r="A9" s="4">
        <v>42521</v>
      </c>
      <c r="B9" s="23">
        <f>Data!B6-Data!$J6</f>
        <v>1.5397681684792042E-2</v>
      </c>
      <c r="C9" s="23">
        <f>Data!C6-Data!$J6</f>
        <v>-1.7010584643483161E-2</v>
      </c>
      <c r="D9" s="23">
        <f>Data!D6-Data!$J6</f>
        <v>-8.1663552507758135E-3</v>
      </c>
      <c r="E9" s="23">
        <f>Data!E6-Data!$J6</f>
        <v>1.2480305337905884E-2</v>
      </c>
      <c r="F9" s="23">
        <f>Data!F6-Data!$J6</f>
        <v>-8.8518065856769686E-4</v>
      </c>
      <c r="G9" s="23">
        <f>Data!G6-Data!$J6</f>
        <v>6.5848791801929471E-2</v>
      </c>
      <c r="H9" s="23">
        <f>Data!H6-Data!$J6</f>
        <v>1.5696670690178872E-2</v>
      </c>
      <c r="I9" s="23">
        <f>Data!I6-Data!$J6</f>
        <v>0.13918692042827607</v>
      </c>
      <c r="J9" s="23">
        <f>Data!K6-Data!$J6</f>
        <v>1.5229490000000002E-2</v>
      </c>
    </row>
    <row r="10" spans="1:10" x14ac:dyDescent="0.25">
      <c r="A10" s="4">
        <v>42551</v>
      </c>
      <c r="B10" s="23">
        <f>Data!B7-Data!$J7</f>
        <v>5.2821807223558427E-2</v>
      </c>
      <c r="C10" s="23">
        <f>Data!C7-Data!$J7</f>
        <v>4.8757988619804384E-2</v>
      </c>
      <c r="D10" s="23">
        <f>Data!D7-Data!$J7</f>
        <v>-3.373007137775421E-2</v>
      </c>
      <c r="E10" s="23">
        <f>Data!E7-Data!$J7</f>
        <v>7.6204295861721033E-2</v>
      </c>
      <c r="F10" s="23">
        <f>Data!F7-Data!$J7</f>
        <v>9.6853013741970057E-2</v>
      </c>
      <c r="G10" s="23">
        <f>Data!G7-Data!$J7</f>
        <v>3.1447328287363054E-2</v>
      </c>
      <c r="H10" s="23">
        <f>Data!H7-Data!$J7</f>
        <v>-9.9591445517539984E-2</v>
      </c>
      <c r="I10" s="23">
        <f>Data!I7-Data!$J7</f>
        <v>-0.10832124609947205</v>
      </c>
      <c r="J10" s="23">
        <f>Data!K7-Data!$J7</f>
        <v>7.0607350000000005E-4</v>
      </c>
    </row>
    <row r="11" spans="1:10" x14ac:dyDescent="0.25">
      <c r="A11" s="4">
        <v>42580</v>
      </c>
      <c r="B11" s="23">
        <f>Data!B8-Data!$J8</f>
        <v>-5.1298793745040892E-2</v>
      </c>
      <c r="C11" s="23">
        <f>Data!C8-Data!$J8</f>
        <v>-1.1000513438880444E-2</v>
      </c>
      <c r="D11" s="23">
        <f>Data!D8-Data!$J8</f>
        <v>8.2421999084949488E-2</v>
      </c>
      <c r="E11" s="23">
        <f>Data!E8-Data!$J8</f>
        <v>3.21990136384964E-2</v>
      </c>
      <c r="F11" s="23">
        <f>Data!F8-Data!$J8</f>
        <v>2.2176163133233785E-3</v>
      </c>
      <c r="G11" s="23">
        <f>Data!G8-Data!$J8</f>
        <v>-8.8468123208731411E-4</v>
      </c>
      <c r="H11" s="23">
        <f>Data!H8-Data!$J8</f>
        <v>9.1736647891998285E-2</v>
      </c>
      <c r="I11" s="23">
        <f>Data!I8-Data!$J8</f>
        <v>-2.7142473168671132E-3</v>
      </c>
      <c r="J11" s="23">
        <f>Data!K8-Data!$J8</f>
        <v>3.540981E-2</v>
      </c>
    </row>
    <row r="12" spans="1:10" x14ac:dyDescent="0.25">
      <c r="A12" s="4">
        <v>42613</v>
      </c>
      <c r="B12" s="23">
        <f>Data!B9-Data!$J9</f>
        <v>-1.2116779913008214E-2</v>
      </c>
      <c r="C12" s="23">
        <f>Data!C9-Data!$J9</f>
        <v>3.0113161869347095E-3</v>
      </c>
      <c r="D12" s="23">
        <f>Data!D9-Data!$J9</f>
        <v>-2.5011996147036551E-2</v>
      </c>
      <c r="E12" s="23">
        <f>Data!E9-Data!$J9</f>
        <v>-4.0845267814397811E-2</v>
      </c>
      <c r="F12" s="23">
        <f>Data!F9-Data!$J9</f>
        <v>-5.5785600435733794E-2</v>
      </c>
      <c r="G12" s="23">
        <f>Data!G9-Data!$J9</f>
        <v>-1.4315372672677041E-2</v>
      </c>
      <c r="H12" s="23">
        <f>Data!H9-Data!$J9</f>
        <v>0.1188475970506668</v>
      </c>
      <c r="I12" s="23">
        <f>Data!I9-Data!$J9</f>
        <v>6.7745174872875208E-2</v>
      </c>
      <c r="J12" s="23">
        <f>Data!K9-Data!$J9</f>
        <v>-1.4191760000000001E-3</v>
      </c>
    </row>
    <row r="13" spans="1:10" x14ac:dyDescent="0.25">
      <c r="A13" s="4">
        <v>42643</v>
      </c>
      <c r="B13" s="23">
        <f>Data!B10-Data!$J10</f>
        <v>1.4066030366346239E-3</v>
      </c>
      <c r="C13" s="23">
        <f>Data!C10-Data!$J10</f>
        <v>-4.4694204223155974E-2</v>
      </c>
      <c r="D13" s="23">
        <f>Data!D10-Data!$J10</f>
        <v>-4.0760711175203322E-2</v>
      </c>
      <c r="E13" s="23">
        <f>Data!E10-Data!$J10</f>
        <v>-1.0339090940356255E-2</v>
      </c>
      <c r="F13" s="23">
        <f>Data!F10-Data!$J10</f>
        <v>-6.8883675754070279E-3</v>
      </c>
      <c r="G13" s="23">
        <f>Data!G10-Data!$J10</f>
        <v>9.3184808596968646E-3</v>
      </c>
      <c r="H13" s="23">
        <f>Data!H10-Data!$J10</f>
        <v>-3.0559342694282531E-2</v>
      </c>
      <c r="I13" s="23">
        <f>Data!I10-Data!$J10</f>
        <v>1.1087902481853961E-2</v>
      </c>
      <c r="J13" s="23">
        <f>Data!K10-Data!$J10</f>
        <v>-1.4344830000000001E-3</v>
      </c>
    </row>
    <row r="14" spans="1:10" x14ac:dyDescent="0.25">
      <c r="A14" s="4">
        <v>42674</v>
      </c>
      <c r="B14" s="23">
        <f>Data!B11-Data!$J11</f>
        <v>-4.5571208339929579E-2</v>
      </c>
      <c r="C14" s="23">
        <f>Data!C11-Data!$J11</f>
        <v>-1.7755721104145049E-2</v>
      </c>
      <c r="D14" s="23">
        <f>Data!D11-Data!$J11</f>
        <v>-5.203393508195877E-2</v>
      </c>
      <c r="E14" s="23">
        <f>Data!E11-Data!$J11</f>
        <v>-1.8315630373358725E-2</v>
      </c>
      <c r="F14" s="23">
        <f>Data!F11-Data!$J11</f>
        <v>-6.3734073531627661E-2</v>
      </c>
      <c r="G14" s="23">
        <f>Data!G11-Data!$J11</f>
        <v>-2.9318219390511512E-2</v>
      </c>
      <c r="H14" s="23">
        <f>Data!H11-Data!$J11</f>
        <v>5.4113123226165773E-2</v>
      </c>
      <c r="I14" s="23">
        <f>Data!I11-Data!$J11</f>
        <v>0.26687252860069277</v>
      </c>
      <c r="J14" s="23">
        <f>Data!K11-Data!$J11</f>
        <v>-1.962562E-2</v>
      </c>
    </row>
    <row r="15" spans="1:10" x14ac:dyDescent="0.25">
      <c r="A15" s="4">
        <v>42704</v>
      </c>
      <c r="B15" s="23">
        <f>Data!B12-Data!$J12</f>
        <v>5.6669125163555142E-2</v>
      </c>
      <c r="C15" s="23">
        <f>Data!C12-Data!$J12</f>
        <v>5.6944666260480878E-2</v>
      </c>
      <c r="D15" s="23">
        <f>Data!D12-Data!$J12</f>
        <v>6.612400879859924E-2</v>
      </c>
      <c r="E15" s="23">
        <f>Data!E12-Data!$J12</f>
        <v>-3.3637328243255618E-2</v>
      </c>
      <c r="F15" s="23">
        <f>Data!F12-Data!$J12</f>
        <v>3.7322101944684979E-2</v>
      </c>
      <c r="G15" s="23">
        <f>Data!G12-Data!$J12</f>
        <v>5.7555225841701028E-3</v>
      </c>
      <c r="H15" s="23">
        <f>Data!H12-Data!$J12</f>
        <v>0.28444551100730897</v>
      </c>
      <c r="I15" s="23">
        <f>Data!I12-Data!$J12</f>
        <v>-6.312556395530701E-2</v>
      </c>
      <c r="J15" s="23">
        <f>Data!K12-Data!$J12</f>
        <v>3.4074449999999999E-2</v>
      </c>
    </row>
    <row r="16" spans="1:10" x14ac:dyDescent="0.25">
      <c r="A16" s="4">
        <v>42734</v>
      </c>
      <c r="B16" s="23">
        <f>Data!B13-Data!$J13</f>
        <v>3.3606061202287672E-2</v>
      </c>
      <c r="C16" s="23">
        <f>Data!C13-Data!$J13</f>
        <v>3.4810536962747572E-2</v>
      </c>
      <c r="D16" s="23">
        <f>Data!D13-Data!$J13</f>
        <v>3.5866988313198088E-2</v>
      </c>
      <c r="E16" s="23">
        <f>Data!E13-Data!$J13</f>
        <v>3.4830243748426436E-2</v>
      </c>
      <c r="F16" s="23">
        <f>Data!F13-Data!$J13</f>
        <v>6.9439468395709997E-2</v>
      </c>
      <c r="G16" s="23">
        <f>Data!G13-Data!$J13</f>
        <v>-1.1800746011734009E-2</v>
      </c>
      <c r="H16" s="23">
        <f>Data!H13-Data!$J13</f>
        <v>4.6101493251323698E-2</v>
      </c>
      <c r="I16" s="23">
        <f>Data!I13-Data!$J13</f>
        <v>5.7819684457778929E-2</v>
      </c>
      <c r="J16" s="23">
        <f>Data!K13-Data!$J13</f>
        <v>1.790075E-2</v>
      </c>
    </row>
    <row r="17" spans="1:10" x14ac:dyDescent="0.25">
      <c r="A17" s="4">
        <v>42766</v>
      </c>
      <c r="B17" s="23">
        <f>Data!B14-Data!$J14</f>
        <v>-7.0973925971984861E-2</v>
      </c>
      <c r="C17" s="23">
        <f>Data!C14-Data!$J14</f>
        <v>-6.0526569122076032E-2</v>
      </c>
      <c r="D17" s="23">
        <f>Data!D14-Data!$J14</f>
        <v>2.5703818789124488E-2</v>
      </c>
      <c r="E17" s="23">
        <f>Data!E14-Data!$J14</f>
        <v>-1.7412404277920724E-2</v>
      </c>
      <c r="F17" s="23">
        <f>Data!F14-Data!$J14</f>
        <v>-7.1447261357307432E-2</v>
      </c>
      <c r="G17" s="23">
        <f>Data!G14-Data!$J14</f>
        <v>-3.4832940185070035E-2</v>
      </c>
      <c r="H17" s="23">
        <f>Data!H14-Data!$J14</f>
        <v>2.4034342980384826E-2</v>
      </c>
      <c r="I17" s="23">
        <f>Data!I14-Data!$J14</f>
        <v>0.13619130036830901</v>
      </c>
      <c r="J17" s="23">
        <f>Data!K14-Data!$J14</f>
        <v>1.7484340000000001E-2</v>
      </c>
    </row>
    <row r="18" spans="1:10" x14ac:dyDescent="0.25">
      <c r="A18" s="4">
        <v>42794</v>
      </c>
      <c r="B18" s="23">
        <f>Data!B15-Data!$J15</f>
        <v>-2.2095073693990708E-2</v>
      </c>
      <c r="C18" s="23">
        <f>Data!C15-Data!$J15</f>
        <v>1.1384467846155167E-2</v>
      </c>
      <c r="D18" s="23">
        <f>Data!D15-Data!$J15</f>
        <v>5.2878107196092608E-2</v>
      </c>
      <c r="E18" s="23">
        <f>Data!E15-Data!$J15</f>
        <v>8.5781007325649264E-2</v>
      </c>
      <c r="F18" s="23">
        <f>Data!F15-Data!$J15</f>
        <v>1.2250536373257638E-2</v>
      </c>
      <c r="G18" s="23">
        <f>Data!G15-Data!$J15</f>
        <v>6.2380976295471194E-2</v>
      </c>
      <c r="H18" s="23">
        <f>Data!H15-Data!$J15</f>
        <v>8.9706047689914706E-2</v>
      </c>
      <c r="I18" s="23">
        <f>Data!I15-Data!$J15</f>
        <v>9.6916642695665366E-3</v>
      </c>
      <c r="J18" s="23">
        <f>Data!K15-Data!$J15</f>
        <v>3.6798260000000006E-2</v>
      </c>
    </row>
    <row r="19" spans="1:10" x14ac:dyDescent="0.25">
      <c r="A19" s="4">
        <v>42825</v>
      </c>
      <c r="B19" s="23">
        <f>Data!B16-Data!$J16</f>
        <v>8.185027588903904E-3</v>
      </c>
      <c r="C19" s="23">
        <f>Data!C16-Data!$J16</f>
        <v>-6.3546559279784552E-4</v>
      </c>
      <c r="D19" s="23">
        <f>Data!D16-Data!$J16</f>
        <v>1.9091333684325217E-2</v>
      </c>
      <c r="E19" s="23">
        <f>Data!E16-Data!$J16</f>
        <v>1.884740167558193E-2</v>
      </c>
      <c r="F19" s="23">
        <f>Data!F16-Data!$J16</f>
        <v>-1.8031232568621637E-2</v>
      </c>
      <c r="G19" s="23">
        <f>Data!G16-Data!$J16</f>
        <v>2.3103376340866087E-2</v>
      </c>
      <c r="H19" s="23">
        <f>Data!H16-Data!$J16</f>
        <v>-4.1426422584056856E-2</v>
      </c>
      <c r="I19" s="23">
        <f>Data!I16-Data!$J16</f>
        <v>3.9663360875844954E-2</v>
      </c>
      <c r="J19" s="23">
        <f>Data!K16-Data!$J16</f>
        <v>-6.8923019999999995E-4</v>
      </c>
    </row>
    <row r="20" spans="1:10" x14ac:dyDescent="0.25">
      <c r="A20" s="4">
        <v>42853</v>
      </c>
      <c r="B20" s="23">
        <f>Data!B17-Data!$J17</f>
        <v>-4.8897158466279511E-3</v>
      </c>
      <c r="C20" s="23">
        <f>Data!C17-Data!$J17</f>
        <v>-2.7681191369891167E-2</v>
      </c>
      <c r="D20" s="23">
        <f>Data!D17-Data!$J17</f>
        <v>6.2634267926216125E-2</v>
      </c>
      <c r="E20" s="23">
        <f>Data!E17-Data!$J17</f>
        <v>-9.1712306365370755E-3</v>
      </c>
      <c r="F20" s="23">
        <f>Data!F17-Data!$J17</f>
        <v>-4.6910258859395981E-2</v>
      </c>
      <c r="G20" s="23">
        <f>Data!G17-Data!$J17</f>
        <v>4.2507746338844299E-2</v>
      </c>
      <c r="H20" s="23">
        <f>Data!H17-Data!$J17</f>
        <v>-1.1097710497677327E-2</v>
      </c>
      <c r="I20" s="23">
        <f>Data!I17-Data!$J17</f>
        <v>2.920028668642044E-2</v>
      </c>
      <c r="J20" s="23">
        <f>Data!K17-Data!$J17</f>
        <v>8.591217E-3</v>
      </c>
    </row>
    <row r="21" spans="1:10" x14ac:dyDescent="0.25">
      <c r="A21" s="4">
        <v>42886</v>
      </c>
      <c r="B21" s="23">
        <f>Data!B18-Data!$J18</f>
        <v>-5.2540298499166964E-3</v>
      </c>
      <c r="C21" s="23">
        <f>Data!C18-Data!$J18</f>
        <v>-5.6136411702632907E-2</v>
      </c>
      <c r="D21" s="23">
        <f>Data!D18-Data!$J18</f>
        <v>-1.1490528559684753E-2</v>
      </c>
      <c r="E21" s="23">
        <f>Data!E18-Data!$J18</f>
        <v>4.4917120510339734E-2</v>
      </c>
      <c r="F21" s="23">
        <f>Data!F18-Data!$J18</f>
        <v>1.5300665894150734E-2</v>
      </c>
      <c r="G21" s="23">
        <f>Data!G18-Data!$J18</f>
        <v>5.1674517714977261E-2</v>
      </c>
      <c r="H21" s="23">
        <f>Data!H18-Data!$J18</f>
        <v>-3.7232403731346134E-2</v>
      </c>
      <c r="I21" s="23">
        <f>Data!I18-Data!$J18</f>
        <v>7.0819253945350644E-2</v>
      </c>
      <c r="J21" s="23">
        <f>Data!K18-Data!$J18</f>
        <v>1.097621E-2</v>
      </c>
    </row>
    <row r="22" spans="1:10" x14ac:dyDescent="0.25">
      <c r="A22" s="4">
        <v>42916</v>
      </c>
      <c r="B22" s="23">
        <f>Data!B19-Data!$J19</f>
        <v>2.2571845032274725E-3</v>
      </c>
      <c r="C22" s="23">
        <f>Data!C19-Data!$J19</f>
        <v>-5.3479523345828055E-3</v>
      </c>
      <c r="D22" s="23">
        <f>Data!D19-Data!$J19</f>
        <v>-1.316569717042148E-3</v>
      </c>
      <c r="E22" s="23">
        <f>Data!E19-Data!$J19</f>
        <v>3.0900920653343201E-2</v>
      </c>
      <c r="F22" s="23">
        <f>Data!F19-Data!$J19</f>
        <v>-4.3052819645404819E-2</v>
      </c>
      <c r="G22" s="23">
        <f>Data!G19-Data!$J19</f>
        <v>-3.7750103598833087E-2</v>
      </c>
      <c r="H22" s="23">
        <f>Data!H19-Data!$J19</f>
        <v>8.1952447915077206E-2</v>
      </c>
      <c r="I22" s="23">
        <f>Data!I19-Data!$J19</f>
        <v>-8.4367727017402652E-2</v>
      </c>
      <c r="J22" s="23">
        <f>Data!K19-Data!$J19</f>
        <v>4.2138320000000007E-3</v>
      </c>
    </row>
    <row r="23" spans="1:10" x14ac:dyDescent="0.25">
      <c r="A23" s="4">
        <v>42947</v>
      </c>
      <c r="B23" s="23">
        <f>Data!B20-Data!$J20</f>
        <v>-9.2470387712121002E-3</v>
      </c>
      <c r="C23" s="23">
        <f>Data!C20-Data!$J20</f>
        <v>-5.2532638680934905E-2</v>
      </c>
      <c r="D23" s="23">
        <f>Data!D20-Data!$J20</f>
        <v>-2.5471759286522865E-2</v>
      </c>
      <c r="E23" s="23">
        <f>Data!E20-Data!$J20</f>
        <v>2.5504948321729897E-3</v>
      </c>
      <c r="F23" s="23">
        <f>Data!F20-Data!$J20</f>
        <v>9.5974911677837366E-2</v>
      </c>
      <c r="G23" s="23">
        <f>Data!G20-Data!$J20</f>
        <v>5.6250286030769349E-2</v>
      </c>
      <c r="H23" s="23">
        <f>Data!H20-Data!$J20</f>
        <v>-6.4707908563315869E-3</v>
      </c>
      <c r="I23" s="23">
        <f>Data!I20-Data!$J20</f>
        <v>0.21514899723529815</v>
      </c>
      <c r="J23" s="23">
        <f>Data!K20-Data!$J20</f>
        <v>1.8648770000000002E-2</v>
      </c>
    </row>
    <row r="24" spans="1:10" x14ac:dyDescent="0.25">
      <c r="A24" s="4">
        <v>42978</v>
      </c>
      <c r="B24" s="23">
        <f>Data!B21-Data!$J21</f>
        <v>-3.7631623113155363E-2</v>
      </c>
      <c r="C24" s="23">
        <f>Data!C21-Data!$J21</f>
        <v>-4.2290135884284971E-2</v>
      </c>
      <c r="D24" s="23">
        <f>Data!D21-Data!$J21</f>
        <v>6.853937039524317E-3</v>
      </c>
      <c r="E24" s="23">
        <f>Data!E21-Data!$J21</f>
        <v>2.7919368430972102E-3</v>
      </c>
      <c r="F24" s="23">
        <f>Data!F21-Data!$J21</f>
        <v>-9.7843032717704771E-3</v>
      </c>
      <c r="G24" s="23">
        <f>Data!G21-Data!$J21</f>
        <v>-1.8527181485295297E-2</v>
      </c>
      <c r="H24" s="23">
        <f>Data!H21-Data!$J21</f>
        <v>-5.4605907216668127E-3</v>
      </c>
      <c r="I24" s="23">
        <f>Data!I21-Data!$J21</f>
        <v>-3.9158265703916548E-2</v>
      </c>
      <c r="J24" s="23">
        <f>Data!K21-Data!$J21</f>
        <v>-3.535077E-4</v>
      </c>
    </row>
    <row r="25" spans="1:10" x14ac:dyDescent="0.25">
      <c r="A25" s="4">
        <v>43007</v>
      </c>
      <c r="B25" s="23">
        <f>Data!B22-Data!$J22</f>
        <v>7.3120721018314364E-2</v>
      </c>
      <c r="C25" s="23">
        <f>Data!C22-Data!$J22</f>
        <v>-6.1952724508941171E-3</v>
      </c>
      <c r="D25" s="23">
        <f>Data!D22-Data!$J22</f>
        <v>9.0445854103565218E-2</v>
      </c>
      <c r="E25" s="23">
        <f>Data!E22-Data!$J22</f>
        <v>-1.8728818410634996E-2</v>
      </c>
      <c r="F25" s="23">
        <f>Data!F22-Data!$J22</f>
        <v>3.0786481088399886E-2</v>
      </c>
      <c r="G25" s="23">
        <f>Data!G22-Data!$J22</f>
        <v>-3.3726837486028425E-6</v>
      </c>
      <c r="H25" s="23">
        <f>Data!H22-Data!$J22</f>
        <v>5.9794884508848192E-2</v>
      </c>
      <c r="I25" s="23">
        <f>Data!I22-Data!$J22</f>
        <v>3.7105832582712175E-2</v>
      </c>
      <c r="J25" s="23">
        <f>Data!K22-Data!$J22</f>
        <v>1.84029E-2</v>
      </c>
    </row>
    <row r="26" spans="1:10" x14ac:dyDescent="0.25">
      <c r="A26" s="4">
        <v>43039</v>
      </c>
      <c r="B26" s="23">
        <f>Data!B23-Data!$J23</f>
        <v>1.5811331903934477E-2</v>
      </c>
      <c r="C26" s="23">
        <f>Data!C23-Data!$J23</f>
        <v>-0.16715311970710756</v>
      </c>
      <c r="D26" s="23">
        <f>Data!D23-Data!$J23</f>
        <v>1.2673008589446545E-2</v>
      </c>
      <c r="E26" s="23">
        <f>Data!E23-Data!$J23</f>
        <v>7.1402207350730898E-2</v>
      </c>
      <c r="F26" s="23">
        <f>Data!F23-Data!$J23</f>
        <v>-2.1712340080738069E-2</v>
      </c>
      <c r="G26" s="23">
        <f>Data!G23-Data!$J23</f>
        <v>0.11645344678163529</v>
      </c>
      <c r="H26" s="23">
        <f>Data!H23-Data!$J23</f>
        <v>7.999973032474518E-2</v>
      </c>
      <c r="I26" s="23">
        <f>Data!I23-Data!$J23</f>
        <v>8.2254045045375826E-2</v>
      </c>
      <c r="J26" s="23">
        <f>Data!K23-Data!$J23</f>
        <v>2.128818E-2</v>
      </c>
    </row>
    <row r="27" spans="1:10" x14ac:dyDescent="0.25">
      <c r="A27" s="4">
        <v>43069</v>
      </c>
      <c r="B27" s="23">
        <f>Data!B24-Data!$J24</f>
        <v>7.7183251649141308E-3</v>
      </c>
      <c r="C27" s="23">
        <f>Data!C24-Data!$J24</f>
        <v>-9.3557880687713618E-2</v>
      </c>
      <c r="D27" s="23">
        <f>Data!D24-Data!$J24</f>
        <v>8.9259168636798863E-2</v>
      </c>
      <c r="E27" s="23">
        <f>Data!E24-Data!$J24</f>
        <v>4.6515325464308258E-3</v>
      </c>
      <c r="F27" s="23">
        <f>Data!F24-Data!$J24</f>
        <v>6.2287537884712217E-2</v>
      </c>
      <c r="G27" s="23">
        <f>Data!G24-Data!$J24</f>
        <v>0.11281820995807648</v>
      </c>
      <c r="H27" s="23">
        <f>Data!H24-Data!$J24</f>
        <v>3.2058733087778089E-2</v>
      </c>
      <c r="I27" s="23">
        <f>Data!I24-Data!$J24</f>
        <v>-4.585417123436928E-2</v>
      </c>
      <c r="J27" s="23">
        <f>Data!K24-Data!$J24</f>
        <v>2.7282600000000001E-2</v>
      </c>
    </row>
    <row r="28" spans="1:10" x14ac:dyDescent="0.25">
      <c r="A28" s="4">
        <v>43098</v>
      </c>
      <c r="B28" s="23">
        <f>Data!B25-Data!$J25</f>
        <v>3.3021665722131732E-3</v>
      </c>
      <c r="C28" s="23">
        <f>Data!C25-Data!$J25</f>
        <v>-4.0265779608488081E-2</v>
      </c>
      <c r="D28" s="23">
        <f>Data!D25-Data!$J25</f>
        <v>5.3098392075300219E-2</v>
      </c>
      <c r="E28" s="23">
        <f>Data!E25-Data!$J25</f>
        <v>1.8991055976599455E-3</v>
      </c>
      <c r="F28" s="23">
        <f>Data!F25-Data!$J25</f>
        <v>3.9186477994918825E-2</v>
      </c>
      <c r="G28" s="23">
        <f>Data!G25-Data!$J25</f>
        <v>1.9978294482827185E-2</v>
      </c>
      <c r="H28" s="23">
        <f>Data!H25-Data!$J25</f>
        <v>4.7023337668180468E-2</v>
      </c>
      <c r="I28" s="23">
        <f>Data!I25-Data!$J25</f>
        <v>2.2450063711404799E-2</v>
      </c>
      <c r="J28" s="23">
        <f>Data!K25-Data!$J25</f>
        <v>8.931619E-3</v>
      </c>
    </row>
    <row r="29" spans="1:10" x14ac:dyDescent="0.25">
      <c r="A29" s="4">
        <v>43131</v>
      </c>
      <c r="B29" s="23">
        <f>Data!B26-Data!$J26</f>
        <v>4.255901073217392E-2</v>
      </c>
      <c r="C29" s="23">
        <f>Data!C26-Data!$J26</f>
        <v>-7.4552470993995673E-2</v>
      </c>
      <c r="D29" s="23">
        <f>Data!D26-Data!$J26</f>
        <v>5.8790476816892624E-2</v>
      </c>
      <c r="E29" s="23">
        <f>Data!E26-Data!$J26</f>
        <v>-1.2150463823974132E-2</v>
      </c>
      <c r="F29" s="23">
        <f>Data!F26-Data!$J26</f>
        <v>3.148466517329216E-2</v>
      </c>
      <c r="G29" s="23">
        <f>Data!G26-Data!$J26</f>
        <v>7.8293656754493707E-2</v>
      </c>
      <c r="H29" s="23">
        <f>Data!H26-Data!$J26</f>
        <v>8.2810824561119073E-2</v>
      </c>
      <c r="I29" s="23">
        <f>Data!I26-Data!$J26</f>
        <v>0.40690573101043703</v>
      </c>
      <c r="J29" s="23">
        <f>Data!K26-Data!$J26</f>
        <v>5.4978730000000003E-2</v>
      </c>
    </row>
    <row r="30" spans="1:10" x14ac:dyDescent="0.25">
      <c r="A30" s="4">
        <v>43159</v>
      </c>
      <c r="B30" s="23">
        <f>Data!B27-Data!$J27</f>
        <v>-0.12469684705734253</v>
      </c>
      <c r="C30" s="23">
        <f>Data!C27-Data!$J27</f>
        <v>-0.12107529119253159</v>
      </c>
      <c r="D30" s="23">
        <f>Data!D27-Data!$J27</f>
        <v>-9.3832653021812443E-2</v>
      </c>
      <c r="E30" s="23">
        <f>Data!E27-Data!$J27</f>
        <v>-5.5155992513895032E-2</v>
      </c>
      <c r="F30" s="23">
        <f>Data!F27-Data!$J27</f>
        <v>-0.11817042902708054</v>
      </c>
      <c r="G30" s="23">
        <f>Data!G27-Data!$J27</f>
        <v>-0.1567284874677658</v>
      </c>
      <c r="H30" s="23">
        <f>Data!H27-Data!$J27</f>
        <v>2.0249523162841794E-3</v>
      </c>
      <c r="I30" s="23">
        <f>Data!I27-Data!$J27</f>
        <v>7.6887484633922573E-2</v>
      </c>
      <c r="J30" s="23">
        <f>Data!K27-Data!$J27</f>
        <v>-4.004738E-2</v>
      </c>
    </row>
    <row r="31" spans="1:10" x14ac:dyDescent="0.25">
      <c r="A31" s="4">
        <v>43188</v>
      </c>
      <c r="B31" s="23">
        <f>Data!B28-Data!$J28</f>
        <v>-1.6019425360858441E-2</v>
      </c>
      <c r="C31" s="23">
        <f>Data!C28-Data!$J28</f>
        <v>-4.574919492602348E-2</v>
      </c>
      <c r="D31" s="23">
        <f>Data!D28-Data!$J28</f>
        <v>-1.7559092497825623E-2</v>
      </c>
      <c r="E31" s="23">
        <f>Data!E28-Data!$J28</f>
        <v>-1.4420071622729302E-2</v>
      </c>
      <c r="F31" s="23">
        <f>Data!F28-Data!$J28</f>
        <v>5.7570204939693206E-4</v>
      </c>
      <c r="G31" s="23">
        <f>Data!G28-Data!$J28</f>
        <v>-6.8771462015807631E-3</v>
      </c>
      <c r="H31" s="23">
        <f>Data!H28-Data!$J28</f>
        <v>-6.309373304843903E-2</v>
      </c>
      <c r="I31" s="23">
        <f>Data!I28-Data!$J28</f>
        <v>1.2524823652207851E-2</v>
      </c>
      <c r="J31" s="23">
        <f>Data!K28-Data!$J28</f>
        <v>-2.7984510000000001E-2</v>
      </c>
    </row>
    <row r="32" spans="1:10" x14ac:dyDescent="0.25">
      <c r="A32" s="4">
        <v>43220</v>
      </c>
      <c r="B32" s="23">
        <f>Data!B29-Data!$J29</f>
        <v>4.0685502296686174E-2</v>
      </c>
      <c r="C32" s="23">
        <f>Data!C29-Data!$J29</f>
        <v>4.2368558651208879E-2</v>
      </c>
      <c r="D32" s="23">
        <f>Data!D29-Data!$J29</f>
        <v>3.5404292351007463E-2</v>
      </c>
      <c r="E32" s="23">
        <f>Data!E29-Data!$J29</f>
        <v>-1.4353539378941059E-2</v>
      </c>
      <c r="F32" s="23">
        <f>Data!F29-Data!$J29</f>
        <v>4.2932887977361681E-2</v>
      </c>
      <c r="G32" s="23">
        <f>Data!G29-Data!$J29</f>
        <v>-7.1322932407259943E-3</v>
      </c>
      <c r="H32" s="23">
        <f>Data!H29-Data!$J29</f>
        <v>-3.734101125597954E-3</v>
      </c>
      <c r="I32" s="23">
        <f>Data!I29-Data!$J29</f>
        <v>5.6531218296289446E-2</v>
      </c>
      <c r="J32" s="23">
        <f>Data!K29-Data!$J29</f>
        <v>1.3188010000000001E-3</v>
      </c>
    </row>
    <row r="33" spans="1:10" x14ac:dyDescent="0.25">
      <c r="A33" s="4">
        <v>43251</v>
      </c>
      <c r="B33" s="23">
        <f>Data!B30-Data!$J30</f>
        <v>5.4034055626392366E-2</v>
      </c>
      <c r="C33" s="23">
        <f>Data!C30-Data!$J30</f>
        <v>-6.8925168933346888E-4</v>
      </c>
      <c r="D33" s="23">
        <f>Data!D30-Data!$J30</f>
        <v>1.364328940063715E-2</v>
      </c>
      <c r="E33" s="23">
        <f>Data!E30-Data!$J30</f>
        <v>-4.85973679959774E-2</v>
      </c>
      <c r="F33" s="23">
        <f>Data!F30-Data!$J30</f>
        <v>-3.5442559564113615E-2</v>
      </c>
      <c r="G33" s="23">
        <f>Data!G30-Data!$J30</f>
        <v>-6.2444521629810332E-2</v>
      </c>
      <c r="H33" s="23">
        <f>Data!H30-Data!$J30</f>
        <v>-2.6801040911674498E-2</v>
      </c>
      <c r="I33" s="23">
        <f>Data!I30-Data!$J30</f>
        <v>0.12386407837867737</v>
      </c>
      <c r="J33" s="23">
        <f>Data!K30-Data!$J30</f>
        <v>2.020835E-2</v>
      </c>
    </row>
    <row r="34" spans="1:10" x14ac:dyDescent="0.25">
      <c r="A34" s="4">
        <v>43280</v>
      </c>
      <c r="B34" s="23">
        <f>Data!B31-Data!$J31</f>
        <v>1.6940786918997766E-2</v>
      </c>
      <c r="C34" s="23">
        <f>Data!C31-Data!$J31</f>
        <v>-2.6257973679900168E-2</v>
      </c>
      <c r="D34" s="23">
        <f>Data!D31-Data!$J31</f>
        <v>4.4432231640815736E-2</v>
      </c>
      <c r="E34" s="23">
        <f>Data!E31-Data!$J31</f>
        <v>1.2978812164068222E-2</v>
      </c>
      <c r="F34" s="23">
        <f>Data!F31-Data!$J31</f>
        <v>5.3980813777446748E-2</v>
      </c>
      <c r="G34" s="23">
        <f>Data!G31-Data!$J31</f>
        <v>3.6278707391023637E-2</v>
      </c>
      <c r="H34" s="23">
        <f>Data!H31-Data!$J31</f>
        <v>-3.0669983991980551E-2</v>
      </c>
      <c r="I34" s="23">
        <f>Data!I31-Data!$J31</f>
        <v>0.11188209936618805</v>
      </c>
      <c r="J34" s="23">
        <f>Data!K31-Data!$J31</f>
        <v>3.4424E-3</v>
      </c>
    </row>
    <row r="35" spans="1:10" x14ac:dyDescent="0.25">
      <c r="A35" s="4">
        <v>43312</v>
      </c>
      <c r="B35" s="23">
        <f>Data!B32-Data!$J32</f>
        <v>-1.6346780507266522E-2</v>
      </c>
      <c r="C35" s="23">
        <f>Data!C32-Data!$J32</f>
        <v>-1.304586589336396E-4</v>
      </c>
      <c r="D35" s="23">
        <f>Data!D32-Data!$J32</f>
        <v>1.0803885833919048E-2</v>
      </c>
      <c r="E35" s="23">
        <f>Data!E32-Data!$J32</f>
        <v>9.0537865722179409E-2</v>
      </c>
      <c r="F35" s="23">
        <f>Data!F32-Data!$J32</f>
        <v>3.6563345307111743E-2</v>
      </c>
      <c r="G35" s="23">
        <f>Data!G32-Data!$J32</f>
        <v>4.0198036545515063E-2</v>
      </c>
      <c r="H35" s="23">
        <f>Data!H32-Data!$J32</f>
        <v>9.3823862338066097E-2</v>
      </c>
      <c r="I35" s="23">
        <f>Data!I32-Data!$J32</f>
        <v>-0.139504554605484</v>
      </c>
      <c r="J35" s="23">
        <f>Data!K32-Data!$J32</f>
        <v>3.4421590000000002E-2</v>
      </c>
    </row>
    <row r="36" spans="1:10" x14ac:dyDescent="0.25">
      <c r="A36" s="4">
        <v>43343</v>
      </c>
      <c r="B36" s="23">
        <f>Data!B33-Data!$J33</f>
        <v>-7.9796341419219978E-3</v>
      </c>
      <c r="C36" s="23">
        <f>Data!C33-Data!$J33</f>
        <v>-5.2223662769794461E-2</v>
      </c>
      <c r="D36" s="23">
        <f>Data!D33-Data!$J33</f>
        <v>2.0068691188096999E-2</v>
      </c>
      <c r="E36" s="23">
        <f>Data!E33-Data!$J33</f>
        <v>2.1566298866271972E-2</v>
      </c>
      <c r="F36" s="23">
        <f>Data!F33-Data!$J33</f>
        <v>5.1265985780954364E-2</v>
      </c>
      <c r="G36" s="23">
        <f>Data!G33-Data!$J33</f>
        <v>7.8529966139793392E-2</v>
      </c>
      <c r="H36" s="23">
        <f>Data!H33-Data!$J33</f>
        <v>1.9208138436078949E-5</v>
      </c>
      <c r="I36" s="23">
        <f>Data!I33-Data!$J33</f>
        <v>8.7983583176136013E-2</v>
      </c>
      <c r="J36" s="23">
        <f>Data!K33-Data!$J33</f>
        <v>2.866322E-2</v>
      </c>
    </row>
    <row r="37" spans="1:10" x14ac:dyDescent="0.25">
      <c r="A37" s="4">
        <v>43371</v>
      </c>
      <c r="B37" s="23">
        <f>Data!B34-Data!$J34</f>
        <v>5.8996427118778227E-2</v>
      </c>
      <c r="C37" s="23">
        <f>Data!C34-Data!$J34</f>
        <v>-0.11973799461126328</v>
      </c>
      <c r="D37" s="23">
        <f>Data!D34-Data!$J34</f>
        <v>3.0277605414390563E-2</v>
      </c>
      <c r="E37" s="23">
        <f>Data!E34-Data!$J34</f>
        <v>2.433707496523857E-2</v>
      </c>
      <c r="F37" s="23">
        <f>Data!F34-Data!$J34</f>
        <v>-1.9524638295173646E-2</v>
      </c>
      <c r="G37" s="23">
        <f>Data!G34-Data!$J34</f>
        <v>-2.1842133939266206E-2</v>
      </c>
      <c r="H37" s="23">
        <f>Data!H34-Data!$J34</f>
        <v>-4.4177052319049837E-2</v>
      </c>
      <c r="I37" s="23">
        <f>Data!I34-Data!$J34</f>
        <v>1.6042460933327674E-2</v>
      </c>
      <c r="J37" s="23">
        <f>Data!K34-Data!$J34</f>
        <v>2.7943010000000003E-3</v>
      </c>
    </row>
    <row r="38" spans="1:10" x14ac:dyDescent="0.25">
      <c r="A38" s="4">
        <v>43404</v>
      </c>
      <c r="B38" s="23">
        <f>Data!B35-Data!$J35</f>
        <v>-6.4708707356452941E-2</v>
      </c>
      <c r="C38" s="23">
        <f>Data!C35-Data!$J35</f>
        <v>-0.10730297627449036</v>
      </c>
      <c r="D38" s="23">
        <f>Data!D35-Data!$J35</f>
        <v>-0.15285336735248567</v>
      </c>
      <c r="E38" s="23">
        <f>Data!E35-Data!$J35</f>
        <v>1.1272232545912265E-2</v>
      </c>
      <c r="F38" s="23">
        <f>Data!F35-Data!$J35</f>
        <v>7.86862694978714E-2</v>
      </c>
      <c r="G38" s="23">
        <f>Data!G35-Data!$J35</f>
        <v>6.5930845713615419E-2</v>
      </c>
      <c r="H38" s="23">
        <f>Data!H35-Data!$J35</f>
        <v>-6.843086096048355E-2</v>
      </c>
      <c r="I38" s="23">
        <f>Data!I35-Data!$J35</f>
        <v>-0.19528199496269227</v>
      </c>
      <c r="J38" s="23">
        <f>Data!K35-Data!$J35</f>
        <v>-7.1303359999999996E-2</v>
      </c>
    </row>
    <row r="39" spans="1:10" x14ac:dyDescent="0.25">
      <c r="A39" s="4">
        <v>43434</v>
      </c>
      <c r="B39" s="23">
        <f>Data!B36-Data!$J36</f>
        <v>6.2321244895458226E-3</v>
      </c>
      <c r="C39" s="23">
        <f>Data!C36-Data!$J36</f>
        <v>-0.25922578506469729</v>
      </c>
      <c r="D39" s="23">
        <f>Data!D36-Data!$J36</f>
        <v>2.9300763007998467E-2</v>
      </c>
      <c r="E39" s="23">
        <f>Data!E36-Data!$J36</f>
        <v>5.398961223363876E-2</v>
      </c>
      <c r="F39" s="23">
        <f>Data!F36-Data!$J36</f>
        <v>5.4426994842290875E-2</v>
      </c>
      <c r="G39" s="23">
        <f>Data!G36-Data!$J36</f>
        <v>-2.802653916478157E-2</v>
      </c>
      <c r="H39" s="23">
        <f>Data!H36-Data!$J36</f>
        <v>3.0927260142564774E-2</v>
      </c>
      <c r="I39" s="23">
        <f>Data!I36-Data!$J36</f>
        <v>-5.3658950406312945E-2</v>
      </c>
      <c r="J39" s="23">
        <f>Data!K36-Data!$J36</f>
        <v>1.6059380000000002E-2</v>
      </c>
    </row>
    <row r="40" spans="1:10" x14ac:dyDescent="0.25">
      <c r="A40" s="4">
        <v>43465</v>
      </c>
      <c r="B40" s="23">
        <f>Data!B37-Data!$J37</f>
        <v>-0.14426411283016205</v>
      </c>
      <c r="C40" s="23">
        <f>Data!C37-Data!$J37</f>
        <v>8.6666898354887962E-3</v>
      </c>
      <c r="D40" s="23">
        <f>Data!D37-Data!$J37</f>
        <v>-4.9138419002294542E-2</v>
      </c>
      <c r="E40" s="23">
        <f>Data!E37-Data!$J37</f>
        <v>-0.12351117622852326</v>
      </c>
      <c r="F40" s="23">
        <f>Data!F37-Data!$J37</f>
        <v>-6.9661657929420473E-2</v>
      </c>
      <c r="G40" s="23">
        <f>Data!G37-Data!$J37</f>
        <v>-4.2757808834314348E-2</v>
      </c>
      <c r="H40" s="23">
        <f>Data!H37-Data!$J37</f>
        <v>-0.12911268663406372</v>
      </c>
      <c r="I40" s="23">
        <f>Data!I37-Data!$J37</f>
        <v>-6.6551077783107759E-2</v>
      </c>
      <c r="J40" s="23">
        <f>Data!K37-Data!$J37</f>
        <v>-9.3776949999999998E-2</v>
      </c>
    </row>
    <row r="41" spans="1:10" x14ac:dyDescent="0.25">
      <c r="A41" s="4">
        <v>43496</v>
      </c>
      <c r="B41" s="23">
        <f>Data!B38-Data!$J38</f>
        <v>7.2544319713115687E-2</v>
      </c>
      <c r="C41" s="23">
        <f>Data!C38-Data!$J38</f>
        <v>0.34003998913764955</v>
      </c>
      <c r="D41" s="23">
        <f>Data!D38-Data!$J38</f>
        <v>6.6052666091918941E-2</v>
      </c>
      <c r="E41" s="23">
        <f>Data!E38-Data!$J38</f>
        <v>2.9128195875883101E-2</v>
      </c>
      <c r="F41" s="23">
        <f>Data!F38-Data!$J38</f>
        <v>-1.2016396811604499E-2</v>
      </c>
      <c r="G41" s="23">
        <f>Data!G38-Data!$J38</f>
        <v>2.6670802542567252E-2</v>
      </c>
      <c r="H41" s="23">
        <f>Data!H38-Data!$J38</f>
        <v>0.15333831884860993</v>
      </c>
      <c r="I41" s="23">
        <f>Data!I38-Data!$J38</f>
        <v>0.2663001922607422</v>
      </c>
      <c r="J41" s="23">
        <f>Data!K38-Data!$J38</f>
        <v>7.6584399999999997E-2</v>
      </c>
    </row>
    <row r="42" spans="1:10" x14ac:dyDescent="0.25">
      <c r="A42" s="4">
        <v>43524</v>
      </c>
      <c r="B42" s="23">
        <f>Data!B39-Data!$J39</f>
        <v>8.7856114578247074E-2</v>
      </c>
      <c r="C42" s="23">
        <f>Data!C39-Data!$J39</f>
        <v>5.9936185103654858E-2</v>
      </c>
      <c r="D42" s="23">
        <f>Data!D39-Data!$J39</f>
        <v>6.9724113836884503E-3</v>
      </c>
      <c r="E42" s="23">
        <f>Data!E39-Data!$J39</f>
        <v>3.1713657748699185E-2</v>
      </c>
      <c r="F42" s="23">
        <f>Data!F39-Data!$J39</f>
        <v>3.1981271427869794E-2</v>
      </c>
      <c r="G42" s="23">
        <f>Data!G39-Data!$J39</f>
        <v>3.1175018024444581E-2</v>
      </c>
      <c r="H42" s="23">
        <f>Data!H39-Data!$J39</f>
        <v>2.4894789528846741E-2</v>
      </c>
      <c r="I42" s="23">
        <f>Data!I39-Data!$J39</f>
        <v>5.2986469787359235E-2</v>
      </c>
      <c r="J42" s="23">
        <f>Data!K39-Data!$J39</f>
        <v>2.7928930000000001E-2</v>
      </c>
    </row>
    <row r="43" spans="1:10" x14ac:dyDescent="0.25">
      <c r="A43" s="4">
        <v>43553</v>
      </c>
      <c r="B43" s="23">
        <f>Data!B40-Data!$J40</f>
        <v>2.0496612912416459E-2</v>
      </c>
      <c r="C43" s="23">
        <f>Data!C40-Data!$J40</f>
        <v>-3.9436147981882094E-2</v>
      </c>
      <c r="D43" s="23">
        <f>Data!D40-Data!$J40</f>
        <v>4.1904690241813661E-2</v>
      </c>
      <c r="E43" s="23">
        <f>Data!E40-Data!$J40</f>
        <v>2.1153234443068505E-2</v>
      </c>
      <c r="F43" s="23">
        <f>Data!F40-Data!$J40</f>
        <v>3.692647678256035E-2</v>
      </c>
      <c r="G43" s="23">
        <f>Data!G40-Data!$J40</f>
        <v>-1.1294879452884198E-2</v>
      </c>
      <c r="H43" s="23">
        <f>Data!H40-Data!$J40</f>
        <v>-5.3137955689430236E-2</v>
      </c>
      <c r="I43" s="23">
        <f>Data!I40-Data!$J40</f>
        <v>-6.2004984036087988E-3</v>
      </c>
      <c r="J43" s="23">
        <f>Data!K40-Data!$J40</f>
        <v>1.602429E-2</v>
      </c>
    </row>
    <row r="44" spans="1:10" x14ac:dyDescent="0.25">
      <c r="A44" s="4">
        <v>43585</v>
      </c>
      <c r="B44" s="23">
        <f>Data!B41-Data!$J41</f>
        <v>-8.5356960356235499E-3</v>
      </c>
      <c r="C44" s="23">
        <f>Data!C41-Data!$J41</f>
        <v>1.5918048256635665E-2</v>
      </c>
      <c r="D44" s="23">
        <f>Data!D41-Data!$J41</f>
        <v>5.9445666307210925E-2</v>
      </c>
      <c r="E44" s="23">
        <f>Data!E41-Data!$J41</f>
        <v>7.9865848362445837E-3</v>
      </c>
      <c r="F44" s="23">
        <f>Data!F41-Data!$J41</f>
        <v>-2.4719692608714105E-2</v>
      </c>
      <c r="G44" s="23">
        <f>Data!G41-Data!$J41</f>
        <v>5.2344760084152224E-2</v>
      </c>
      <c r="H44" s="23">
        <f>Data!H41-Data!$J41</f>
        <v>0.10627259143590927</v>
      </c>
      <c r="I44" s="23">
        <f>Data!I41-Data!$J41</f>
        <v>3.7108017289638522E-2</v>
      </c>
      <c r="J44" s="23">
        <f>Data!K41-Data!$J41</f>
        <v>3.721344E-2</v>
      </c>
    </row>
    <row r="45" spans="1:10" x14ac:dyDescent="0.25">
      <c r="A45" s="4">
        <v>43616</v>
      </c>
      <c r="B45" s="23">
        <f>Data!B42-Data!$J42</f>
        <v>-0.10972334614992142</v>
      </c>
      <c r="C45" s="23">
        <f>Data!C42-Data!$J42</f>
        <v>-7.3879794991016393E-2</v>
      </c>
      <c r="D45" s="23">
        <f>Data!D42-Data!$J42</f>
        <v>-7.0092098629474645E-2</v>
      </c>
      <c r="E45" s="23">
        <f>Data!E42-Data!$J42</f>
        <v>-6.6547611570358281E-2</v>
      </c>
      <c r="F45" s="23">
        <f>Data!F42-Data!$J42</f>
        <v>-5.1759036099910734E-2</v>
      </c>
      <c r="G45" s="23">
        <f>Data!G42-Data!$J42</f>
        <v>-1.0559684439003467E-2</v>
      </c>
      <c r="H45" s="23">
        <f>Data!H42-Data!$J42</f>
        <v>-0.13225040755271911</v>
      </c>
      <c r="I45" s="23">
        <f>Data!I42-Data!$J42</f>
        <v>-7.5668329215049748E-2</v>
      </c>
      <c r="J45" s="23">
        <f>Data!K42-Data!$J42</f>
        <v>-6.7877730000000011E-2</v>
      </c>
    </row>
    <row r="46" spans="1:10" x14ac:dyDescent="0.25">
      <c r="A46" s="4">
        <v>43644</v>
      </c>
      <c r="B46" s="23">
        <f>Data!B43-Data!$J43</f>
        <v>8.1003457975387577E-2</v>
      </c>
      <c r="C46" s="23">
        <f>Data!C43-Data!$J43</f>
        <v>0.11154750801324845</v>
      </c>
      <c r="D46" s="23">
        <f>Data!D43-Data!$J43</f>
        <v>0.10080729491710663</v>
      </c>
      <c r="E46" s="23">
        <f>Data!E43-Data!$J43</f>
        <v>6.0190126967430112E-2</v>
      </c>
      <c r="F46" s="23">
        <f>Data!F43-Data!$J43</f>
        <v>4.9350001585483548E-2</v>
      </c>
      <c r="G46" s="23">
        <f>Data!G43-Data!$J43</f>
        <v>8.7415248823165898E-2</v>
      </c>
      <c r="H46" s="23">
        <f>Data!H43-Data!$J43</f>
        <v>9.4064646136760716E-2</v>
      </c>
      <c r="I46" s="23">
        <f>Data!I43-Data!$J43</f>
        <v>6.8230324161052708E-2</v>
      </c>
      <c r="J46" s="23">
        <f>Data!K43-Data!$J43</f>
        <v>6.7130190000000006E-2</v>
      </c>
    </row>
    <row r="47" spans="1:10" x14ac:dyDescent="0.25">
      <c r="A47" s="4">
        <v>43677</v>
      </c>
      <c r="B47" s="23">
        <f>Data!B44-Data!$J44</f>
        <v>-3.1522821137309073E-2</v>
      </c>
      <c r="C47" s="23">
        <f>Data!C44-Data!$J44</f>
        <v>-6.6619231045246122E-3</v>
      </c>
      <c r="D47" s="23">
        <f>Data!D44-Data!$J44</f>
        <v>2.5603972873091699E-2</v>
      </c>
      <c r="E47" s="23">
        <f>Data!E44-Data!$J44</f>
        <v>-6.6948806369304656E-2</v>
      </c>
      <c r="F47" s="23">
        <f>Data!F44-Data!$J44</f>
        <v>-2.391121300458908E-2</v>
      </c>
      <c r="G47" s="23">
        <f>Data!G44-Data!$J44</f>
        <v>-2.8955707937479017E-3</v>
      </c>
      <c r="H47" s="23">
        <f>Data!H44-Data!$J44</f>
        <v>5.6031043207645417E-2</v>
      </c>
      <c r="I47" s="23">
        <f>Data!I44-Data!$J44</f>
        <v>-0.12258500369787216</v>
      </c>
      <c r="J47" s="23">
        <f>Data!K44-Data!$J44</f>
        <v>1.1228189999999999E-2</v>
      </c>
    </row>
    <row r="48" spans="1:10" x14ac:dyDescent="0.25">
      <c r="A48" s="4">
        <v>43707</v>
      </c>
      <c r="B48" s="23">
        <f>Data!B45-Data!$J45</f>
        <v>-6.8974892532825474E-2</v>
      </c>
      <c r="C48" s="23">
        <f>Data!C45-Data!$J45</f>
        <v>-0.21212630245685576</v>
      </c>
      <c r="D48" s="23">
        <f>Data!D45-Data!$J45</f>
        <v>6.4945002162456508E-2</v>
      </c>
      <c r="E48" s="23">
        <f>Data!E45-Data!$J45</f>
        <v>-8.5881784729659565E-3</v>
      </c>
      <c r="F48" s="23">
        <f>Data!F45-Data!$J45</f>
        <v>5.068875204920769E-2</v>
      </c>
      <c r="G48" s="23">
        <f>Data!G45-Data!$J45</f>
        <v>3.8352933788299563E-2</v>
      </c>
      <c r="H48" s="23">
        <f>Data!H45-Data!$J45</f>
        <v>-0.10492464426755906</v>
      </c>
      <c r="I48" s="23">
        <f>Data!I45-Data!$J45</f>
        <v>-9.2129091656208043E-2</v>
      </c>
      <c r="J48" s="23">
        <f>Data!K45-Data!$J45</f>
        <v>-1.9691650000000002E-2</v>
      </c>
    </row>
    <row r="49" spans="1:10" x14ac:dyDescent="0.25">
      <c r="A49" s="4">
        <v>43738</v>
      </c>
      <c r="B49" s="23">
        <f>Data!B46-Data!$J46</f>
        <v>2.930392950475216E-2</v>
      </c>
      <c r="C49" s="23">
        <f>Data!C46-Data!$J46</f>
        <v>8.3048433732986454E-2</v>
      </c>
      <c r="D49" s="23">
        <f>Data!D46-Data!$J46</f>
        <v>2.2200704288482666E-2</v>
      </c>
      <c r="E49" s="23">
        <f>Data!E46-Data!$J46</f>
        <v>6.1464344307780271E-3</v>
      </c>
      <c r="F49" s="23">
        <f>Data!F46-Data!$J46</f>
        <v>3.6026698273420331E-2</v>
      </c>
      <c r="G49" s="23">
        <f>Data!G46-Data!$J46</f>
        <v>3.68836864054203E-2</v>
      </c>
      <c r="H49" s="23">
        <f>Data!H46-Data!$J46</f>
        <v>6.5084763538837437E-2</v>
      </c>
      <c r="I49" s="23">
        <f>Data!I46-Data!$J46</f>
        <v>-9.0753204452991482E-2</v>
      </c>
      <c r="J49" s="23">
        <f>Data!K46-Data!$J46</f>
        <v>1.538117E-2</v>
      </c>
    </row>
    <row r="50" spans="1:10" x14ac:dyDescent="0.25">
      <c r="A50" s="4">
        <v>43769</v>
      </c>
      <c r="B50" s="23">
        <f>Data!B47-Data!$J47</f>
        <v>-4.4653403496742246E-2</v>
      </c>
      <c r="C50" s="23">
        <f>Data!C47-Data!$J47</f>
        <v>0.11473110046386718</v>
      </c>
      <c r="D50" s="23">
        <f>Data!D47-Data!$J47</f>
        <v>9.4335210338234894E-3</v>
      </c>
      <c r="E50" s="23">
        <f>Data!E47-Data!$J47</f>
        <v>1.8959500902891158E-2</v>
      </c>
      <c r="F50" s="23">
        <f>Data!F47-Data!$J47</f>
        <v>1.0411275626718997E-2</v>
      </c>
      <c r="G50" s="23">
        <f>Data!G47-Data!$J47</f>
        <v>-1.3564932084083558E-2</v>
      </c>
      <c r="H50" s="23">
        <f>Data!H47-Data!$J47</f>
        <v>7.0391786360740657E-2</v>
      </c>
      <c r="I50" s="23">
        <f>Data!I47-Data!$J47</f>
        <v>7.2348167264461513E-2</v>
      </c>
      <c r="J50" s="23">
        <f>Data!K47-Data!$J47</f>
        <v>1.8831750000000001E-2</v>
      </c>
    </row>
    <row r="51" spans="1:10" x14ac:dyDescent="0.25">
      <c r="A51" s="4">
        <v>43798</v>
      </c>
      <c r="B51" s="23">
        <f>Data!B48-Data!$J48</f>
        <v>1.9963202822208405E-2</v>
      </c>
      <c r="C51" s="23">
        <f>Data!C48-Data!$J48</f>
        <v>0.12805861775875091</v>
      </c>
      <c r="D51" s="23">
        <f>Data!D48-Data!$J48</f>
        <v>-6.1179569166898727E-2</v>
      </c>
      <c r="E51" s="23">
        <f>Data!E48-Data!$J48</f>
        <v>4.7270254987478257E-2</v>
      </c>
      <c r="F51" s="23">
        <f>Data!F48-Data!$J48</f>
        <v>-5.0035314064472911E-3</v>
      </c>
      <c r="G51" s="23">
        <f>Data!G48-Data!$J48</f>
        <v>1.4406295317411423E-2</v>
      </c>
      <c r="H51" s="23">
        <f>Data!H48-Data!$J48</f>
        <v>6.4358016300201409E-2</v>
      </c>
      <c r="I51" s="23">
        <f>Data!I48-Data!$J48</f>
        <v>9.3612288880348199E-2</v>
      </c>
      <c r="J51" s="23">
        <f>Data!K48-Data!$J48</f>
        <v>3.2847060000000004E-2</v>
      </c>
    </row>
    <row r="52" spans="1:10" x14ac:dyDescent="0.25">
      <c r="A52" s="4">
        <v>43830</v>
      </c>
      <c r="B52" s="23">
        <f>Data!B49-Data!$J49</f>
        <v>2.2818428879976274E-2</v>
      </c>
      <c r="C52" s="23">
        <f>Data!C49-Data!$J49</f>
        <v>-1.0273168379068375E-2</v>
      </c>
      <c r="D52" s="23">
        <f>Data!D49-Data!$J49</f>
        <v>-4.891858020424843E-3</v>
      </c>
      <c r="E52" s="23">
        <f>Data!E49-Data!$J49</f>
        <v>5.9549809849262239E-2</v>
      </c>
      <c r="F52" s="23">
        <f>Data!F49-Data!$J49</f>
        <v>1.785630494952202E-2</v>
      </c>
      <c r="G52" s="23">
        <f>Data!G49-Data!$J49</f>
        <v>9.5116272233426551E-4</v>
      </c>
      <c r="H52" s="23">
        <f>Data!H49-Data!$J49</f>
        <v>6.102501735687256E-2</v>
      </c>
      <c r="I52" s="23">
        <f>Data!I49-Data!$J49</f>
        <v>2.6916289186477663E-2</v>
      </c>
      <c r="J52" s="23">
        <f>Data!K49-Data!$J49</f>
        <v>2.71898E-2</v>
      </c>
    </row>
    <row r="53" spans="1:10" x14ac:dyDescent="0.25">
      <c r="A53" s="4">
        <v>43861</v>
      </c>
      <c r="B53" s="23">
        <f>Data!B50-Data!$J50</f>
        <v>-0.11107357625961303</v>
      </c>
      <c r="C53" s="23">
        <f>Data!C50-Data!$J50</f>
        <v>0.114291399371624</v>
      </c>
      <c r="D53" s="23">
        <f>Data!D50-Data!$J50</f>
        <v>4.3209574770927427E-2</v>
      </c>
      <c r="E53" s="23">
        <f>Data!E50-Data!$J50</f>
        <v>1.926625857949257E-2</v>
      </c>
      <c r="F53" s="23">
        <f>Data!F50-Data!$J50</f>
        <v>-2.3205584260821342E-2</v>
      </c>
      <c r="G53" s="23">
        <f>Data!G50-Data!$J50</f>
        <v>-3.7903827029466632E-2</v>
      </c>
      <c r="H53" s="23">
        <f>Data!H50-Data!$J50</f>
        <v>-6.9159150469303127E-2</v>
      </c>
      <c r="I53" s="23">
        <f>Data!I50-Data!$J50</f>
        <v>6.5207987678050999E-2</v>
      </c>
      <c r="J53" s="23">
        <f>Data!K50-Data!$J50</f>
        <v>-2.9280899999999999E-3</v>
      </c>
    </row>
    <row r="54" spans="1:10" x14ac:dyDescent="0.25">
      <c r="A54" s="4">
        <v>43889</v>
      </c>
      <c r="B54" s="23">
        <f>Data!B51-Data!$J51</f>
        <v>-0.15912016685009003</v>
      </c>
      <c r="C54" s="23">
        <f>Data!C51-Data!$J51</f>
        <v>-0.12730439956188203</v>
      </c>
      <c r="D54" s="23">
        <f>Data!D51-Data!$J51</f>
        <v>-4.6180313628911972E-2</v>
      </c>
      <c r="E54" s="23">
        <f>Data!E51-Data!$J51</f>
        <v>-9.1480108153820044E-2</v>
      </c>
      <c r="F54" s="23">
        <f>Data!F51-Data!$J51</f>
        <v>-9.002905542850495E-2</v>
      </c>
      <c r="G54" s="23">
        <f>Data!G51-Data!$J51</f>
        <v>-6.0681158852577209E-2</v>
      </c>
      <c r="H54" s="23">
        <f>Data!H51-Data!$J51</f>
        <v>-0.13309160823822022</v>
      </c>
      <c r="I54" s="23">
        <f>Data!I51-Data!$J51</f>
        <v>6.8173212754726403E-2</v>
      </c>
      <c r="J54" s="23">
        <f>Data!K51-Data!$J51</f>
        <v>-8.5310470000000013E-2</v>
      </c>
    </row>
    <row r="55" spans="1:10" x14ac:dyDescent="0.25">
      <c r="A55" s="4">
        <v>43921</v>
      </c>
      <c r="B55" s="23">
        <f>Data!B52-Data!$J52</f>
        <v>-0.26315843348503115</v>
      </c>
      <c r="C55" s="23">
        <f>Data!C52-Data!$J52</f>
        <v>-0.27060147409439089</v>
      </c>
      <c r="D55" s="23">
        <f>Data!D52-Data!$J52</f>
        <v>-0.13731721823215484</v>
      </c>
      <c r="E55" s="23">
        <f>Data!E52-Data!$J52</f>
        <v>-2.6210699576139449E-2</v>
      </c>
      <c r="F55" s="23">
        <f>Data!F52-Data!$J52</f>
        <v>-9.2394439235329619E-3</v>
      </c>
      <c r="G55" s="23">
        <f>Data!G52-Data!$J52</f>
        <v>5.8878328305482862E-2</v>
      </c>
      <c r="H55" s="23">
        <f>Data!H52-Data!$J52</f>
        <v>-0.25007195060253146</v>
      </c>
      <c r="I55" s="23">
        <f>Data!I52-Data!$J52</f>
        <v>1.6232452940940858E-2</v>
      </c>
      <c r="J55" s="23">
        <f>Data!K52-Data!$J52</f>
        <v>-0.12641929999999998</v>
      </c>
    </row>
    <row r="56" spans="1:10" x14ac:dyDescent="0.25">
      <c r="A56" s="4">
        <v>43951</v>
      </c>
      <c r="B56" s="23">
        <f>Data!B53-Data!$J53</f>
        <v>0.22386093437671661</v>
      </c>
      <c r="C56" s="23">
        <f>Data!C53-Data!$J53</f>
        <v>-0.14357681572437286</v>
      </c>
      <c r="D56" s="23">
        <f>Data!D53-Data!$J53</f>
        <v>0.17738735675811768</v>
      </c>
      <c r="E56" s="23">
        <f>Data!E53-Data!$J53</f>
        <v>0.14420793950557709</v>
      </c>
      <c r="F56" s="23">
        <f>Data!F53-Data!$J53</f>
        <v>8.0681204795837402E-2</v>
      </c>
      <c r="G56" s="23">
        <f>Data!G53-Data!$J53</f>
        <v>6.9794051349163055E-2</v>
      </c>
      <c r="H56" s="23">
        <f>Data!H53-Data!$J53</f>
        <v>0.13283088803291321</v>
      </c>
      <c r="I56" s="23">
        <f>Data!I53-Data!$J53</f>
        <v>0.11810920387506485</v>
      </c>
      <c r="J56" s="23">
        <f>Data!K53-Data!$J53</f>
        <v>0.12684409999999999</v>
      </c>
    </row>
    <row r="57" spans="1:10" x14ac:dyDescent="0.25">
      <c r="A57" s="4">
        <v>43980</v>
      </c>
      <c r="B57" s="23">
        <f>Data!B54-Data!$J54</f>
        <v>-2.897503490000963E-3</v>
      </c>
      <c r="C57" s="23">
        <f>Data!C54-Data!$J54</f>
        <v>-3.3923531121015552E-2</v>
      </c>
      <c r="D57" s="23">
        <f>Data!D54-Data!$J54</f>
        <v>0.13022795488834382</v>
      </c>
      <c r="E57" s="23">
        <f>Data!E54-Data!$J54</f>
        <v>-1.9661244539543985E-3</v>
      </c>
      <c r="F57" s="23">
        <f>Data!F54-Data!$J54</f>
        <v>-1.3184454826638103E-3</v>
      </c>
      <c r="G57" s="23">
        <f>Data!G54-Data!$J54</f>
        <v>2.4992508643865586E-2</v>
      </c>
      <c r="H57" s="23">
        <f>Data!H54-Data!$J54</f>
        <v>2.8106696601957084E-3</v>
      </c>
      <c r="I57" s="23">
        <f>Data!I54-Data!$J54</f>
        <v>-3.8580473735928535E-4</v>
      </c>
      <c r="J57" s="23">
        <f>Data!K54-Data!$J54</f>
        <v>4.5181779999999998E-2</v>
      </c>
    </row>
    <row r="58" spans="1:10" x14ac:dyDescent="0.25">
      <c r="A58" s="4">
        <v>44012</v>
      </c>
      <c r="B58" s="23">
        <f>Data!B55-Data!$J55</f>
        <v>-1.6594391486048698E-2</v>
      </c>
      <c r="C58" s="23">
        <f>Data!C55-Data!$J55</f>
        <v>4.0995852851867673E-2</v>
      </c>
      <c r="D58" s="23">
        <f>Data!D55-Data!$J55</f>
        <v>1.410637033879757E-2</v>
      </c>
      <c r="E58" s="23">
        <f>Data!E55-Data!$J55</f>
        <v>-5.4688202387094501E-2</v>
      </c>
      <c r="F58" s="23">
        <f>Data!F55-Data!$J55</f>
        <v>-3.9312267845869067E-2</v>
      </c>
      <c r="G58" s="23">
        <f>Data!G55-Data!$J55</f>
        <v>-3.459942544102669E-2</v>
      </c>
      <c r="H58" s="23">
        <f>Data!H55-Data!$J55</f>
        <v>-7.977314463257789E-3</v>
      </c>
      <c r="I58" s="23">
        <f>Data!I55-Data!$J55</f>
        <v>8.4025503897666928E-2</v>
      </c>
      <c r="J58" s="23">
        <f>Data!K55-Data!$J55</f>
        <v>1.82884E-2</v>
      </c>
    </row>
    <row r="59" spans="1:10" x14ac:dyDescent="0.25">
      <c r="A59" s="4">
        <v>44043</v>
      </c>
      <c r="B59" s="23">
        <f>Data!B56-Data!$J56</f>
        <v>-5.9133975005149844E-2</v>
      </c>
      <c r="C59" s="23">
        <f>Data!C56-Data!$J56</f>
        <v>-0.11137375811338425</v>
      </c>
      <c r="D59" s="23">
        <f>Data!D56-Data!$J56</f>
        <v>5.9697994792461392E-2</v>
      </c>
      <c r="E59" s="23">
        <f>Data!E56-Data!$J56</f>
        <v>3.6378627473115918E-2</v>
      </c>
      <c r="F59" s="23">
        <f>Data!F56-Data!$J56</f>
        <v>5.3681941533088681E-2</v>
      </c>
      <c r="G59" s="23">
        <f>Data!G56-Data!$J56</f>
        <v>8.0213868820667264E-2</v>
      </c>
      <c r="H59" s="23">
        <f>Data!H56-Data!$J56</f>
        <v>4.7478912228345868E-2</v>
      </c>
      <c r="I59" s="23">
        <f>Data!I56-Data!$J56</f>
        <v>7.4267076158523557E-2</v>
      </c>
      <c r="J59" s="23">
        <f>Data!K56-Data!$J56</f>
        <v>5.5001299999999996E-2</v>
      </c>
    </row>
    <row r="60" spans="1:10" x14ac:dyDescent="0.25">
      <c r="A60" s="4">
        <v>44074</v>
      </c>
      <c r="B60" s="23">
        <f>Data!B57-Data!$J57</f>
        <v>-3.0280683359503745E-2</v>
      </c>
      <c r="C60" s="23">
        <f>Data!C57-Data!$J57</f>
        <v>4.4381050223112103E-2</v>
      </c>
      <c r="D60" s="23">
        <f>Data!D57-Data!$J57</f>
        <v>7.3537500405311582E-2</v>
      </c>
      <c r="E60" s="23">
        <f>Data!E57-Data!$J57</f>
        <v>5.931279977560043E-2</v>
      </c>
      <c r="F60" s="23">
        <f>Data!F57-Data!$J57</f>
        <v>3.1041282990574837E-2</v>
      </c>
      <c r="G60" s="23">
        <f>Data!G57-Data!$J57</f>
        <v>7.7102573418617246E-2</v>
      </c>
      <c r="H60" s="23">
        <f>Data!H57-Data!$J57</f>
        <v>3.4465940499305722E-2</v>
      </c>
      <c r="I60" s="23">
        <f>Data!I57-Data!$J57</f>
        <v>8.3110587501525876E-2</v>
      </c>
      <c r="J60" s="23">
        <f>Data!K57-Data!$J57</f>
        <v>6.9964689999999996E-2</v>
      </c>
    </row>
    <row r="61" spans="1:10" x14ac:dyDescent="0.25">
      <c r="A61" s="4">
        <v>44104</v>
      </c>
      <c r="B61" s="23">
        <f>Data!B58-Data!$J58</f>
        <v>-0.14056061038970946</v>
      </c>
      <c r="C61" s="23">
        <f>Data!C58-Data!$J58</f>
        <v>-1.5872892162203788E-2</v>
      </c>
      <c r="D61" s="23">
        <f>Data!D58-Data!$J58</f>
        <v>-2.0553328266739845E-2</v>
      </c>
      <c r="E61" s="23">
        <f>Data!E58-Data!$J58</f>
        <v>-2.9628705403208732E-2</v>
      </c>
      <c r="F61" s="23">
        <f>Data!F58-Data!$J58</f>
        <v>3.6118478212505581E-3</v>
      </c>
      <c r="G61" s="23">
        <f>Data!G58-Data!$J58</f>
        <v>7.5341195963323114E-3</v>
      </c>
      <c r="H61" s="23">
        <f>Data!H58-Data!$J58</f>
        <v>-5.7209542191028598E-2</v>
      </c>
      <c r="I61" s="23">
        <f>Data!I58-Data!$J58</f>
        <v>-5.5863274431228641E-2</v>
      </c>
      <c r="J61" s="23">
        <f>Data!K58-Data!$J58</f>
        <v>-3.9327960000000002E-2</v>
      </c>
    </row>
    <row r="62" spans="1:10" x14ac:dyDescent="0.25">
      <c r="A62" s="4">
        <v>44134</v>
      </c>
      <c r="B62" s="23">
        <f>Data!B59-Data!$J59</f>
        <v>-4.9910744822025302E-2</v>
      </c>
      <c r="C62" s="23">
        <f>Data!C59-Data!$J59</f>
        <v>0.1909112500190735</v>
      </c>
      <c r="D62" s="23">
        <f>Data!D59-Data!$J59</f>
        <v>-3.970966691374779E-2</v>
      </c>
      <c r="E62" s="23">
        <f>Data!E59-Data!$J59</f>
        <v>-7.9156985676288608E-2</v>
      </c>
      <c r="F62" s="23">
        <f>Data!F59-Data!$J59</f>
        <v>-3.1575879251956943E-2</v>
      </c>
      <c r="G62" s="23">
        <f>Data!G59-Data!$J59</f>
        <v>-8.3910703495144838E-3</v>
      </c>
      <c r="H62" s="23">
        <f>Data!H59-Data!$J59</f>
        <v>-1.6289264133572578E-2</v>
      </c>
      <c r="I62" s="23">
        <f>Data!I59-Data!$J59</f>
        <v>-4.8677103763818744E-2</v>
      </c>
      <c r="J62" s="23">
        <f>Data!K59-Data!$J59</f>
        <v>-2.776578E-2</v>
      </c>
    </row>
    <row r="63" spans="1:10" x14ac:dyDescent="0.25">
      <c r="A63" s="4">
        <v>44165</v>
      </c>
      <c r="B63" s="23">
        <f>Data!B60-Data!$J60</f>
        <v>0.19548560848236085</v>
      </c>
      <c r="C63" s="23">
        <f>Data!C60-Data!$J60</f>
        <v>0.37186767330169679</v>
      </c>
      <c r="D63" s="23">
        <f>Data!D60-Data!$J60</f>
        <v>4.0018526667356488E-2</v>
      </c>
      <c r="E63" s="23">
        <f>Data!E60-Data!$J60</f>
        <v>6.2477433884143826E-2</v>
      </c>
      <c r="F63" s="23">
        <f>Data!F60-Data!$J60</f>
        <v>5.9910492801666257E-2</v>
      </c>
      <c r="G63" s="23">
        <f>Data!G60-Data!$J60</f>
        <v>0.10108914395570755</v>
      </c>
      <c r="H63" s="23">
        <f>Data!H60-Data!$J60</f>
        <v>0.18808560242652894</v>
      </c>
      <c r="I63" s="23">
        <f>Data!I60-Data!$J60</f>
        <v>3.1345793807506558E-2</v>
      </c>
      <c r="J63" s="23">
        <f>Data!K60-Data!$J60</f>
        <v>0.10744569999999999</v>
      </c>
    </row>
    <row r="64" spans="1:10" x14ac:dyDescent="0.25">
      <c r="A64" s="4">
        <v>44196</v>
      </c>
      <c r="B64" s="23">
        <f>Data!B61-Data!$J61</f>
        <v>8.0938556993007657E-2</v>
      </c>
      <c r="C64" s="23">
        <f>Data!C61-Data!$J61</f>
        <v>6.1786038631200788E-2</v>
      </c>
      <c r="D64" s="23">
        <f>Data!D61-Data!$J61</f>
        <v>-3.7193140184879306E-2</v>
      </c>
      <c r="E64" s="23">
        <f>Data!E61-Data!$J61</f>
        <v>8.7680013680458066E-2</v>
      </c>
      <c r="F64" s="23">
        <f>Data!F61-Data!$J61</f>
        <v>-2.7578892356157302E-2</v>
      </c>
      <c r="G64" s="23">
        <f>Data!G61-Data!$J61</f>
        <v>-5.3113939410448077E-2</v>
      </c>
      <c r="H64" s="23">
        <f>Data!H61-Data!$J61</f>
        <v>8.2641461694240567E-2</v>
      </c>
      <c r="I64" s="23">
        <f>Data!I61-Data!$J61</f>
        <v>0.1018563227891922</v>
      </c>
      <c r="J64" s="23">
        <f>Data!K61-Data!$J61</f>
        <v>3.7021409999999998E-2</v>
      </c>
    </row>
    <row r="65" spans="1:10" x14ac:dyDescent="0.25">
      <c r="A65" s="4">
        <v>44225</v>
      </c>
      <c r="B65" s="23">
        <f>Data!B62-Data!$J62</f>
        <v>8.7721416556835172E-2</v>
      </c>
      <c r="C65" s="23">
        <f>Data!C62-Data!$J62</f>
        <v>-1.1211100204288959E-2</v>
      </c>
      <c r="D65" s="23">
        <f>Data!D62-Data!$J62</f>
        <v>1.9476884806156159E-2</v>
      </c>
      <c r="E65" s="23">
        <f>Data!E62-Data!$J62</f>
        <v>3.6435773426294324E-2</v>
      </c>
      <c r="F65" s="23">
        <f>Data!F62-Data!$J62</f>
        <v>-5.7504253631830218E-2</v>
      </c>
      <c r="G65" s="23">
        <f>Data!G62-Data!$J62</f>
        <v>-2.549013884961605E-2</v>
      </c>
      <c r="H65" s="23">
        <f>Data!H62-Data!$J62</f>
        <v>-2.1874986758828163E-2</v>
      </c>
      <c r="I65" s="23">
        <f>Data!I62-Data!$J62</f>
        <v>-1.5523531644046306E-2</v>
      </c>
      <c r="J65" s="23">
        <f>Data!K62-Data!$J62</f>
        <v>-1.1236639999999999E-2</v>
      </c>
    </row>
    <row r="66" spans="1:10" x14ac:dyDescent="0.25">
      <c r="A66" s="4">
        <v>44253</v>
      </c>
      <c r="B66" s="23">
        <f>Data!B63-Data!$J63</f>
        <v>0.23193573951721191</v>
      </c>
      <c r="C66" s="23">
        <f>Data!C63-Data!$J63</f>
        <v>0.17415726184844971</v>
      </c>
      <c r="D66" s="23">
        <f>Data!D63-Data!$J63</f>
        <v>-4.6082306653261185E-2</v>
      </c>
      <c r="E66" s="23">
        <f>Data!E63-Data!$J63</f>
        <v>-2.2436082363128662E-2</v>
      </c>
      <c r="F66" s="23">
        <f>Data!F63-Data!$J63</f>
        <v>1.004564855247736E-2</v>
      </c>
      <c r="G66" s="23">
        <f>Data!G63-Data!$J63</f>
        <v>-7.5236722826957703E-2</v>
      </c>
      <c r="H66" s="23">
        <f>Data!H63-Data!$J63</f>
        <v>0.17065764963626862</v>
      </c>
      <c r="I66" s="23">
        <f>Data!I63-Data!$J63</f>
        <v>1.2133887968957424E-2</v>
      </c>
      <c r="J66" s="23">
        <f>Data!K63-Data!$J63</f>
        <v>2.609148E-2</v>
      </c>
    </row>
    <row r="67" spans="1:10" x14ac:dyDescent="0.25">
      <c r="A67" s="4">
        <v>44286</v>
      </c>
      <c r="B67" s="23">
        <f>Data!B64-Data!$J64</f>
        <v>2.6853097602725029E-2</v>
      </c>
      <c r="C67" s="23">
        <f>Data!C64-Data!$J64</f>
        <v>4.7846902161836624E-2</v>
      </c>
      <c r="D67" s="23">
        <f>Data!D64-Data!$J64</f>
        <v>0.18796935677528381</v>
      </c>
      <c r="E67" s="23">
        <f>Data!E64-Data!$J64</f>
        <v>3.7170257419347763E-2</v>
      </c>
      <c r="F67" s="23">
        <f>Data!F64-Data!$J64</f>
        <v>5.1537111401557922E-2</v>
      </c>
      <c r="G67" s="23">
        <f>Data!G64-Data!$J64</f>
        <v>4.9722936004400253E-2</v>
      </c>
      <c r="H67" s="23">
        <f>Data!H64-Data!$J64</f>
        <v>0.11985018104314804</v>
      </c>
      <c r="I67" s="23">
        <f>Data!I64-Data!$J64</f>
        <v>-3.1901277601718903E-2</v>
      </c>
      <c r="J67" s="23">
        <f>Data!K64-Data!$J64</f>
        <v>4.2438629999999998E-2</v>
      </c>
    </row>
    <row r="68" spans="1:10" x14ac:dyDescent="0.25">
      <c r="A68" s="4">
        <v>44316</v>
      </c>
      <c r="B68" s="23">
        <f>Data!B65-Data!$J65</f>
        <v>2.5255234912037849E-2</v>
      </c>
      <c r="C68" s="23">
        <f>Data!C65-Data!$J65</f>
        <v>-7.6163205085322261E-4</v>
      </c>
      <c r="D68" s="23">
        <f>Data!D65-Data!$J65</f>
        <v>6.0344025492668152E-2</v>
      </c>
      <c r="E68" s="23">
        <f>Data!E65-Data!$J65</f>
        <v>-9.8570752888917923E-3</v>
      </c>
      <c r="F68" s="23">
        <f>Data!F65-Data!$J65</f>
        <v>4.6001612208783627E-3</v>
      </c>
      <c r="G68" s="23">
        <f>Data!G65-Data!$J65</f>
        <v>3.0037559568881989E-2</v>
      </c>
      <c r="H68" s="23">
        <f>Data!H65-Data!$J65</f>
        <v>4.7557514160871506E-2</v>
      </c>
      <c r="I68" s="23">
        <f>Data!I65-Data!$J65</f>
        <v>-1.5699885785579681E-2</v>
      </c>
      <c r="J68" s="23">
        <f>Data!K65-Data!$J65</f>
        <v>5.2425310000000003E-2</v>
      </c>
    </row>
    <row r="69" spans="1:10" x14ac:dyDescent="0.25">
      <c r="A69" s="4">
        <v>44344</v>
      </c>
      <c r="B69" s="23">
        <f>Data!B66-Data!$J66</f>
        <v>3.4940551966428757E-2</v>
      </c>
      <c r="C69" s="23">
        <f>Data!C66-Data!$J66</f>
        <v>7.164638489484787E-2</v>
      </c>
      <c r="D69" s="23">
        <f>Data!D66-Data!$J66</f>
        <v>-1.4706366695463657E-2</v>
      </c>
      <c r="E69" s="23">
        <f>Data!E66-Data!$J66</f>
        <v>4.6580251306295395E-2</v>
      </c>
      <c r="F69" s="23">
        <f>Data!F66-Data!$J66</f>
        <v>-2.2495226934552193E-2</v>
      </c>
      <c r="G69" s="23">
        <f>Data!G66-Data!$J66</f>
        <v>1.9083661958575249E-2</v>
      </c>
      <c r="H69" s="23">
        <f>Data!H66-Data!$J66</f>
        <v>4.5891948044300079E-2</v>
      </c>
      <c r="I69" s="23">
        <f>Data!I66-Data!$J66</f>
        <v>-2.0760655403137207E-2</v>
      </c>
      <c r="J69" s="23">
        <f>Data!K66-Data!$J66</f>
        <v>5.4865030000000002E-3</v>
      </c>
    </row>
    <row r="70" spans="1:10" x14ac:dyDescent="0.25">
      <c r="A70" s="4">
        <v>44377</v>
      </c>
      <c r="B70" s="23">
        <f>Data!B67-Data!$J67</f>
        <v>8.0692186951637268E-2</v>
      </c>
      <c r="C70" s="23">
        <f>Data!C67-Data!$J67</f>
        <v>-4.1963040828704834E-2</v>
      </c>
      <c r="D70" s="23">
        <f>Data!D67-Data!$J67</f>
        <v>5.1111942157149315E-3</v>
      </c>
      <c r="E70" s="23">
        <f>Data!E67-Data!$J67</f>
        <v>-2.6646940037608147E-2</v>
      </c>
      <c r="F70" s="23">
        <f>Data!F67-Data!$J67</f>
        <v>-8.1430850550532341E-3</v>
      </c>
      <c r="G70" s="23">
        <f>Data!G67-Data!$J67</f>
        <v>-7.1111349388957024E-3</v>
      </c>
      <c r="H70" s="23">
        <f>Data!H67-Data!$J67</f>
        <v>-2.3118656128644943E-2</v>
      </c>
      <c r="I70" s="23">
        <f>Data!I67-Data!$J67</f>
        <v>5.0516147166490555E-2</v>
      </c>
      <c r="J70" s="23">
        <f>Data!K67-Data!$J67</f>
        <v>2.2213980000000001E-2</v>
      </c>
    </row>
    <row r="71" spans="1:10" x14ac:dyDescent="0.25">
      <c r="A71" s="4">
        <v>44407</v>
      </c>
      <c r="B71" s="23">
        <f>Data!B68-Data!$J68</f>
        <v>-8.7349429726600647E-2</v>
      </c>
      <c r="C71" s="23">
        <f>Data!C68-Data!$J68</f>
        <v>-3.7890061736106873E-2</v>
      </c>
      <c r="D71" s="23">
        <f>Data!D68-Data!$J68</f>
        <v>2.9163621366024017E-2</v>
      </c>
      <c r="E71" s="23">
        <f>Data!E68-Data!$J68</f>
        <v>4.5283421874046326E-2</v>
      </c>
      <c r="F71" s="23">
        <f>Data!F68-Data!$J68</f>
        <v>6.7374622449278831E-3</v>
      </c>
      <c r="G71" s="23">
        <f>Data!G68-Data!$J68</f>
        <v>1.0849515907466412E-2</v>
      </c>
      <c r="H71" s="23">
        <f>Data!H68-Data!$J68</f>
        <v>-6.9609485566616058E-2</v>
      </c>
      <c r="I71" s="23">
        <f>Data!I68-Data!$J68</f>
        <v>-2.0143531262874603E-2</v>
      </c>
      <c r="J71" s="23">
        <f>Data!K68-Data!$J68</f>
        <v>2.2748110000000002E-2</v>
      </c>
    </row>
    <row r="72" spans="1:10" x14ac:dyDescent="0.25">
      <c r="A72" s="4">
        <v>44439</v>
      </c>
      <c r="B72" s="23">
        <f>Data!B69-Data!$J69</f>
        <v>-3.7866931408643723E-2</v>
      </c>
      <c r="C72" s="23">
        <f>Data!C69-Data!$J69</f>
        <v>1.7471093684434891E-2</v>
      </c>
      <c r="D72" s="23">
        <f>Data!D69-Data!$J69</f>
        <v>-6.1245309188961983E-3</v>
      </c>
      <c r="E72" s="23">
        <f>Data!E69-Data!$J69</f>
        <v>1.1556375771760941E-2</v>
      </c>
      <c r="F72" s="23">
        <f>Data!F69-Data!$J69</f>
        <v>-1.3983485288918018E-2</v>
      </c>
      <c r="G72" s="23">
        <f>Data!G69-Data!$J69</f>
        <v>4.2792022228240967E-2</v>
      </c>
      <c r="H72" s="23">
        <f>Data!H69-Data!$J69</f>
        <v>8.8373288512229919E-2</v>
      </c>
      <c r="I72" s="23">
        <f>Data!I69-Data!$J69</f>
        <v>9.9735289812088013E-2</v>
      </c>
      <c r="J72" s="23">
        <f>Data!K69-Data!$J69</f>
        <v>2.899032E-2</v>
      </c>
    </row>
    <row r="73" spans="1:10" x14ac:dyDescent="0.25">
      <c r="A73" s="4">
        <v>44469</v>
      </c>
      <c r="B73" s="23">
        <f>Data!B70-Data!$J70</f>
        <v>7.8870125114917755E-2</v>
      </c>
      <c r="C73" s="23">
        <f>Data!C70-Data!$J70</f>
        <v>-2.1819606423377991E-2</v>
      </c>
      <c r="D73" s="23">
        <f>Data!D70-Data!$J70</f>
        <v>1.1435456573963165E-2</v>
      </c>
      <c r="E73" s="23">
        <f>Data!E70-Data!$J70</f>
        <v>-6.717497855424881E-2</v>
      </c>
      <c r="F73" s="23">
        <f>Data!F70-Data!$J70</f>
        <v>-1.8000030890107155E-2</v>
      </c>
      <c r="G73" s="23">
        <f>Data!G70-Data!$J70</f>
        <v>-5.8879140764474869E-2</v>
      </c>
      <c r="H73" s="23">
        <f>Data!H70-Data!$J70</f>
        <v>2.1796425804495811E-2</v>
      </c>
      <c r="I73" s="23">
        <f>Data!I70-Data!$J70</f>
        <v>7.2295762598514557E-2</v>
      </c>
      <c r="J73" s="23">
        <f>Data!K70-Data!$J70</f>
        <v>-4.7569140000000003E-2</v>
      </c>
    </row>
    <row r="74" spans="1:10" x14ac:dyDescent="0.25">
      <c r="A74" s="4">
        <v>44498</v>
      </c>
      <c r="B74" s="23">
        <f>Data!B71-Data!$J71</f>
        <v>9.6055790781974792E-2</v>
      </c>
      <c r="C74" s="23">
        <f>Data!C71-Data!$J71</f>
        <v>1.7858915030956268E-2</v>
      </c>
      <c r="D74" s="23">
        <f>Data!D71-Data!$J71</f>
        <v>0.13245591521263123</v>
      </c>
      <c r="E74" s="23">
        <f>Data!E71-Data!$J71</f>
        <v>8.544921875E-3</v>
      </c>
      <c r="F74" s="23">
        <f>Data!F71-Data!$J71</f>
        <v>-7.035672664642334E-3</v>
      </c>
      <c r="G74" s="23">
        <f>Data!G71-Data!$J71</f>
        <v>7.2033241391181946E-2</v>
      </c>
      <c r="H74" s="23">
        <f>Data!H71-Data!$J71</f>
        <v>0.12555943429470062</v>
      </c>
      <c r="I74" s="23">
        <f>Data!I71-Data!$J71</f>
        <v>0.13102526962757111</v>
      </c>
      <c r="J74" s="23">
        <f>Data!K71-Data!$J71</f>
        <v>6.9143880000000005E-2</v>
      </c>
    </row>
    <row r="75" spans="1:10" x14ac:dyDescent="0.25">
      <c r="A75" s="4">
        <v>44530</v>
      </c>
      <c r="B75" s="23">
        <f>Data!B72-Data!$J72</f>
        <v>-5.8166604489088058E-2</v>
      </c>
      <c r="C75" s="23">
        <f>Data!C72-Data!$J72</f>
        <v>-9.421192854642868E-2</v>
      </c>
      <c r="D75" s="23">
        <f>Data!D72-Data!$J72</f>
        <v>7.7661797404289246E-2</v>
      </c>
      <c r="E75" s="23">
        <f>Data!E72-Data!$J72</f>
        <v>-3.6161664873361588E-2</v>
      </c>
      <c r="F75" s="23">
        <f>Data!F72-Data!$J72</f>
        <v>-5.1330462098121643E-2</v>
      </c>
      <c r="G75" s="23">
        <f>Data!G72-Data!$J72</f>
        <v>-5.8827422559261322E-2</v>
      </c>
      <c r="H75" s="23">
        <f>Data!H72-Data!$J72</f>
        <v>-6.9275796413421631E-2</v>
      </c>
      <c r="I75" s="23">
        <f>Data!I72-Data!$J72</f>
        <v>-7.0127874612808228E-2</v>
      </c>
      <c r="J75" s="23">
        <f>Data!K72-Data!$J72</f>
        <v>-8.3337310000000005E-3</v>
      </c>
    </row>
    <row r="76" spans="1:10" x14ac:dyDescent="0.25">
      <c r="A76" s="4">
        <v>44561</v>
      </c>
      <c r="B76" s="23">
        <f>Data!B73-Data!$J73</f>
        <v>2.2460134530067444E-2</v>
      </c>
      <c r="C76" s="23">
        <f>Data!C73-Data!$J73</f>
        <v>-4.7320315450429919E-3</v>
      </c>
      <c r="D76" s="23">
        <f>Data!D73-Data!$J73</f>
        <v>3.9963966065645215E-2</v>
      </c>
      <c r="E76" s="23">
        <f>Data!E73-Data!$J73</f>
        <v>9.6994945609569547E-2</v>
      </c>
      <c r="F76" s="23">
        <f>Data!F73-Data!$J73</f>
        <v>3.3518431538343427E-2</v>
      </c>
      <c r="G76" s="23">
        <f>Data!G73-Data!$J73</f>
        <v>3.2681038433313367E-2</v>
      </c>
      <c r="H76" s="23">
        <f>Data!H73-Data!$J73</f>
        <v>5.0720361225306985E-3</v>
      </c>
      <c r="I76" s="23">
        <f>Data!I73-Data!$J73</f>
        <v>-6.1573783105611804E-2</v>
      </c>
      <c r="J76" s="23">
        <f>Data!K73-Data!$J73</f>
        <v>4.3512879999999997E-2</v>
      </c>
    </row>
    <row r="77" spans="1:10" x14ac:dyDescent="0.25">
      <c r="A77" s="4">
        <v>44592</v>
      </c>
      <c r="B77" s="23">
        <f>Data!B74-Data!$J74</f>
        <v>0.24137932062149048</v>
      </c>
      <c r="C77" s="23">
        <f>Data!C74-Data!$J74</f>
        <v>1.0587632277747616E-4</v>
      </c>
      <c r="D77" s="23">
        <f>Data!D74-Data!$J74</f>
        <v>-0.11573214828968048</v>
      </c>
      <c r="E77" s="23">
        <f>Data!E74-Data!$J74</f>
        <v>7.1315011009573936E-3</v>
      </c>
      <c r="F77" s="23">
        <f>Data!F74-Data!$J74</f>
        <v>3.6759056150913239E-2</v>
      </c>
      <c r="G77" s="23">
        <f>Data!G74-Data!$J74</f>
        <v>-3.3727310597896576E-2</v>
      </c>
      <c r="H77" s="23">
        <f>Data!H74-Data!$J74</f>
        <v>3.7086933851242065E-2</v>
      </c>
      <c r="I77" s="23">
        <f>Data!I74-Data!$J74</f>
        <v>-0.29098331928253174</v>
      </c>
      <c r="J77" s="23">
        <f>Data!K74-Data!$J74</f>
        <v>-5.2585090000000001E-2</v>
      </c>
    </row>
    <row r="78" spans="1:10" x14ac:dyDescent="0.25">
      <c r="A78" s="4">
        <v>44620</v>
      </c>
      <c r="B78" s="23">
        <f>Data!B75-Data!$J75</f>
        <v>4.3970499187707901E-2</v>
      </c>
      <c r="C78" s="23">
        <f>Data!C75-Data!$J75</f>
        <v>1.0901764966547489E-2</v>
      </c>
      <c r="D78" s="23">
        <f>Data!D75-Data!$J75</f>
        <v>-0.13938096165657043</v>
      </c>
      <c r="E78" s="23">
        <f>Data!E75-Data!$J75</f>
        <v>-3.8655675947666168E-2</v>
      </c>
      <c r="F78" s="23">
        <f>Data!F75-Data!$J75</f>
        <v>8.2659898325800896E-3</v>
      </c>
      <c r="G78" s="23">
        <f>Data!G75-Data!$J75</f>
        <v>-3.3259380608797073E-2</v>
      </c>
      <c r="H78" s="23">
        <f>Data!H75-Data!$J75</f>
        <v>-4.2045917361974716E-2</v>
      </c>
      <c r="I78" s="23">
        <f>Data!I75-Data!$J75</f>
        <v>-7.6368458569049835E-2</v>
      </c>
      <c r="J78" s="23">
        <f>Data!K75-Data!$J75</f>
        <v>-3.1360520000000003E-2</v>
      </c>
    </row>
    <row r="79" spans="1:10" x14ac:dyDescent="0.25">
      <c r="A79" s="4">
        <v>44651</v>
      </c>
      <c r="B79" s="23">
        <f>Data!B76-Data!$J76</f>
        <v>5.3075188601016995E-2</v>
      </c>
      <c r="C79" s="23">
        <f>Data!C76-Data!$J76</f>
        <v>-4.1247544980049136E-2</v>
      </c>
      <c r="D79" s="23">
        <f>Data!D76-Data!$J76</f>
        <v>-4.6327402985095981E-2</v>
      </c>
      <c r="E79" s="23">
        <f>Data!E76-Data!$J76</f>
        <v>7.6827676796913144E-2</v>
      </c>
      <c r="F79" s="23">
        <f>Data!F76-Data!$J76</f>
        <v>-5.0966398960351947E-2</v>
      </c>
      <c r="G79" s="23">
        <f>Data!G76-Data!$J76</f>
        <v>0.10584846308231353</v>
      </c>
      <c r="H79" s="23">
        <f>Data!H76-Data!$J76</f>
        <v>-6.2769672071933749E-2</v>
      </c>
      <c r="I79" s="23">
        <f>Data!I76-Data!$J76</f>
        <v>-5.0617067313194278E-2</v>
      </c>
      <c r="J79" s="23">
        <f>Data!K76-Data!$J76</f>
        <v>3.5673239999999995E-2</v>
      </c>
    </row>
    <row r="80" spans="1:10" x14ac:dyDescent="0.25">
      <c r="A80" s="4">
        <v>44680</v>
      </c>
      <c r="B80" s="23">
        <f>Data!B77-Data!$J77</f>
        <v>3.2107336276769635E-2</v>
      </c>
      <c r="C80" s="23">
        <f>Data!C77-Data!$J77</f>
        <v>-0.18534587154388427</v>
      </c>
      <c r="D80" s="23">
        <f>Data!D77-Data!$J77</f>
        <v>3.4746747162193062E-3</v>
      </c>
      <c r="E80" s="23">
        <f>Data!E77-Data!$J77</f>
        <v>1.8124967643618584E-2</v>
      </c>
      <c r="F80" s="23">
        <f>Data!F77-Data!$J77</f>
        <v>-7.8623740172386172E-2</v>
      </c>
      <c r="G80" s="23">
        <f>Data!G77-Data!$J77</f>
        <v>2.7230160140991212E-2</v>
      </c>
      <c r="H80" s="23">
        <f>Data!H77-Data!$J77</f>
        <v>-0.13450079987049102</v>
      </c>
      <c r="I80" s="23">
        <f>Data!I77-Data!$J77</f>
        <v>-0.49191771278381347</v>
      </c>
      <c r="J80" s="23">
        <f>Data!K77-Data!$J77</f>
        <v>-8.8056720000000005E-2</v>
      </c>
    </row>
    <row r="81" spans="1:10" x14ac:dyDescent="0.25">
      <c r="A81" s="4">
        <v>44712</v>
      </c>
      <c r="B81" s="23">
        <f>Data!B78-Data!$J78</f>
        <v>0.13612229139804841</v>
      </c>
      <c r="C81" s="23">
        <f>Data!C78-Data!$J78</f>
        <v>4.9867642533779143E-2</v>
      </c>
      <c r="D81" s="23">
        <f>Data!D78-Data!$J78</f>
        <v>7.5229233622550965E-3</v>
      </c>
      <c r="E81" s="23">
        <f>Data!E78-Data!$J78</f>
        <v>8.0823486465960749E-4</v>
      </c>
      <c r="F81" s="23">
        <f>Data!F78-Data!$J78</f>
        <v>0.10747541249990464</v>
      </c>
      <c r="G81" s="23">
        <f>Data!G78-Data!$J78</f>
        <v>-0.15586572377681732</v>
      </c>
      <c r="H81" s="23">
        <f>Data!H78-Data!$J78</f>
        <v>4.230091111063957E-2</v>
      </c>
      <c r="I81" s="23">
        <f>Data!I78-Data!$J78</f>
        <v>3.6892698568105696E-2</v>
      </c>
      <c r="J81" s="23">
        <f>Data!K78-Data!$J78</f>
        <v>-2.4675611999999995E-4</v>
      </c>
    </row>
    <row r="82" spans="1:10" x14ac:dyDescent="0.25">
      <c r="A82" s="4">
        <v>44742</v>
      </c>
      <c r="B82" s="23">
        <f>Data!B79-Data!$J79</f>
        <v>-0.10851667550802231</v>
      </c>
      <c r="C82" s="23">
        <f>Data!C79-Data!$J79</f>
        <v>-0.1863197880744934</v>
      </c>
      <c r="D82" s="23">
        <f>Data!D79-Data!$J79</f>
        <v>-8.8395250117778781E-2</v>
      </c>
      <c r="E82" s="23">
        <f>Data!E79-Data!$J79</f>
        <v>-1.185162560492754E-2</v>
      </c>
      <c r="F82" s="23">
        <f>Data!F79-Data!$J79</f>
        <v>-1.1128385639190674E-2</v>
      </c>
      <c r="G82" s="23">
        <f>Data!G79-Data!$J79</f>
        <v>-5.5408385670185092E-2</v>
      </c>
      <c r="H82" s="23">
        <f>Data!H79-Data!$J79</f>
        <v>-0.15812692520618438</v>
      </c>
      <c r="I82" s="23">
        <f>Data!I79-Data!$J79</f>
        <v>-0.11491324481964112</v>
      </c>
      <c r="J82" s="23">
        <f>Data!K79-Data!$J79</f>
        <v>-8.4519990000000003E-2</v>
      </c>
    </row>
    <row r="83" spans="1:10" x14ac:dyDescent="0.25">
      <c r="A83" s="4">
        <v>44771</v>
      </c>
      <c r="B83" s="23">
        <f>Data!B80-Data!$J80</f>
        <v>0.13103093070983887</v>
      </c>
      <c r="C83" s="23">
        <f>Data!C80-Data!$J80</f>
        <v>0.16002936525344849</v>
      </c>
      <c r="D83" s="23">
        <f>Data!D80-Data!$J80</f>
        <v>9.6440000963211064E-2</v>
      </c>
      <c r="E83" s="23">
        <f>Data!E80-Data!$J80</f>
        <v>-1.7644067722558974E-2</v>
      </c>
      <c r="F83" s="23">
        <f>Data!F80-Data!$J80</f>
        <v>-7.8041405844688411E-2</v>
      </c>
      <c r="G83" s="23">
        <f>Data!G80-Data!$J80</f>
        <v>8.5316142570972447E-2</v>
      </c>
      <c r="H83" s="23">
        <f>Data!H80-Data!$J80</f>
        <v>8.5290661585330968E-2</v>
      </c>
      <c r="I83" s="23">
        <f>Data!I80-Data!$J80</f>
        <v>0.28529824180603025</v>
      </c>
      <c r="J83" s="23">
        <f>Data!K80-Data!$J80</f>
        <v>9.0316350000000004E-2</v>
      </c>
    </row>
    <row r="84" spans="1:10" x14ac:dyDescent="0.25">
      <c r="A84" s="4">
        <v>44804</v>
      </c>
      <c r="B84" s="23">
        <f>Data!B81-Data!$J81</f>
        <v>-6.6457339242100713E-3</v>
      </c>
      <c r="C84" s="23">
        <f>Data!C81-Data!$J81</f>
        <v>-8.2591017387807376E-3</v>
      </c>
      <c r="D84" s="23">
        <f>Data!D81-Data!$J81</f>
        <v>-3.7189388149976729E-2</v>
      </c>
      <c r="E84" s="23">
        <f>Data!E81-Data!$J81</f>
        <v>-7.0946571850776671E-2</v>
      </c>
      <c r="F84" s="23">
        <f>Data!F81-Data!$J81</f>
        <v>-9.6725662672519683E-2</v>
      </c>
      <c r="G84" s="23">
        <f>Data!G81-Data!$J81</f>
        <v>6.127262054383755E-3</v>
      </c>
      <c r="H84" s="23">
        <f>Data!H81-Data!$J81</f>
        <v>-7.8154317714273936E-3</v>
      </c>
      <c r="I84" s="23">
        <f>Data!I81-Data!$J81</f>
        <v>-7.8581873938441283E-3</v>
      </c>
      <c r="J84" s="23">
        <f>Data!K81-Data!$J81</f>
        <v>-4.4340119999999997E-2</v>
      </c>
    </row>
    <row r="85" spans="1:10" x14ac:dyDescent="0.25">
      <c r="A85" s="4">
        <v>44834</v>
      </c>
      <c r="B85" s="23">
        <f>Data!B82-Data!$J82</f>
        <v>-8.851992847919464E-2</v>
      </c>
      <c r="C85" s="23">
        <f>Data!C82-Data!$J82</f>
        <v>-0.15780961277484895</v>
      </c>
      <c r="D85" s="23">
        <f>Data!D82-Data!$J82</f>
        <v>-4.5170267546176909E-2</v>
      </c>
      <c r="E85" s="23">
        <f>Data!E82-Data!$J82</f>
        <v>1.0620170770585536E-2</v>
      </c>
      <c r="F85" s="23">
        <f>Data!F82-Data!$J82</f>
        <v>-9.3744059526920318E-2</v>
      </c>
      <c r="G85" s="23">
        <f>Data!G82-Data!$J82</f>
        <v>-2.3401366049051284E-2</v>
      </c>
      <c r="H85" s="23">
        <f>Data!H82-Data!$J82</f>
        <v>-9.6812223517894744E-2</v>
      </c>
      <c r="I85" s="23">
        <f>Data!I82-Data!$J82</f>
        <v>5.1240118718147279E-2</v>
      </c>
      <c r="J85" s="23">
        <f>Data!K82-Data!$J82</f>
        <v>-9.5295699999999997E-2</v>
      </c>
    </row>
    <row r="86" spans="1:10" x14ac:dyDescent="0.25">
      <c r="A86" s="4">
        <v>44865</v>
      </c>
      <c r="B86" s="23">
        <f>Data!B83-Data!$J83</f>
        <v>0.26685588974952695</v>
      </c>
      <c r="C86" s="23">
        <f>Data!C83-Data!$J83</f>
        <v>0.25452437419891355</v>
      </c>
      <c r="D86" s="23">
        <f>Data!D83-Data!$J83</f>
        <v>7.0868091475963596E-2</v>
      </c>
      <c r="E86" s="23">
        <f>Data!E83-Data!$J83</f>
        <v>6.2648581159114841E-2</v>
      </c>
      <c r="F86" s="23">
        <f>Data!F83-Data!$J83</f>
        <v>-9.1739051993936296E-4</v>
      </c>
      <c r="G86" s="23">
        <f>Data!G83-Data!$J83</f>
        <v>9.5078604114055637E-2</v>
      </c>
      <c r="H86" s="23">
        <f>Data!H83-Data!$J83</f>
        <v>0.19107747991085053</v>
      </c>
      <c r="I86" s="23">
        <f>Data!I83-Data!$J83</f>
        <v>0.2374213876247406</v>
      </c>
      <c r="J86" s="23">
        <f>Data!K83-Data!$J83</f>
        <v>7.7563450000000006E-2</v>
      </c>
    </row>
    <row r="87" spans="1:10" x14ac:dyDescent="0.25">
      <c r="A87" s="4">
        <v>44895</v>
      </c>
      <c r="B87" s="23">
        <f>Data!B84-Data!$J84</f>
        <v>1.0095206750929356E-2</v>
      </c>
      <c r="C87" s="23">
        <f>Data!C84-Data!$J84</f>
        <v>0.10197089306116104</v>
      </c>
      <c r="D87" s="23">
        <f>Data!D84-Data!$J84</f>
        <v>9.7596351718902588E-2</v>
      </c>
      <c r="E87" s="23">
        <f>Data!E84-Data!$J84</f>
        <v>2.6760278931260109E-2</v>
      </c>
      <c r="F87" s="23">
        <f>Data!F84-Data!$J84</f>
        <v>4.0182702904939652E-2</v>
      </c>
      <c r="G87" s="23">
        <f>Data!G84-Data!$J84</f>
        <v>6.7991566574573517E-2</v>
      </c>
      <c r="H87" s="23">
        <f>Data!H84-Data!$J84</f>
        <v>4.7321905112266541E-2</v>
      </c>
      <c r="I87" s="23">
        <f>Data!I84-Data!$J84</f>
        <v>4.3865770763158798E-2</v>
      </c>
      <c r="J87" s="23">
        <f>Data!K84-Data!$J84</f>
        <v>5.085286E-2</v>
      </c>
    </row>
    <row r="88" spans="1:10" x14ac:dyDescent="0.25">
      <c r="A88" s="4">
        <v>44925</v>
      </c>
      <c r="B88" s="23">
        <f>Data!B85-Data!$J85</f>
        <v>-1.2640697899460793E-2</v>
      </c>
      <c r="C88" s="23">
        <f>Data!C85-Data!$J85</f>
        <v>-2.7727128955721856E-2</v>
      </c>
      <c r="D88" s="23">
        <f>Data!D85-Data!$J85</f>
        <v>-2.8393382224440575E-2</v>
      </c>
      <c r="E88" s="23">
        <f>Data!E85-Data!$J85</f>
        <v>-1.0884304083138705E-2</v>
      </c>
      <c r="F88" s="23">
        <f>Data!F85-Data!$J85</f>
        <v>7.4748070731759072E-3</v>
      </c>
      <c r="G88" s="23">
        <f>Data!G85-Data!$J85</f>
        <v>-6.9367479550838468E-2</v>
      </c>
      <c r="H88" s="23">
        <f>Data!H85-Data!$J85</f>
        <v>-0.12245455013513565</v>
      </c>
      <c r="I88" s="23">
        <f>Data!I85-Data!$J85</f>
        <v>-3.8157440739870069E-2</v>
      </c>
      <c r="J88" s="23">
        <f>Data!K85-Data!$J85</f>
        <v>-6.2271449999999999E-2</v>
      </c>
    </row>
    <row r="89" spans="1:10" x14ac:dyDescent="0.25">
      <c r="A89" s="4">
        <v>44957</v>
      </c>
      <c r="B89" s="23">
        <f>Data!B86-Data!$J86</f>
        <v>4.8267896860837933E-2</v>
      </c>
      <c r="C89" s="23">
        <f>Data!C86-Data!$J86</f>
        <v>0.23287676239013672</v>
      </c>
      <c r="D89" s="23">
        <f>Data!D86-Data!$J86</f>
        <v>2.2809214532375336E-2</v>
      </c>
      <c r="E89" s="23">
        <f>Data!E86-Data!$J86</f>
        <v>-7.8393839657306674E-2</v>
      </c>
      <c r="F89" s="23">
        <f>Data!F86-Data!$J86</f>
        <v>6.813700461387634E-2</v>
      </c>
      <c r="G89" s="23">
        <f>Data!G86-Data!$J86</f>
        <v>1.1169595286250115E-2</v>
      </c>
      <c r="H89" s="23">
        <f>Data!H86-Data!$J86</f>
        <v>6.7756056427955624E-2</v>
      </c>
      <c r="I89" s="23">
        <f>Data!I86-Data!$J86</f>
        <v>0.19651348853111267</v>
      </c>
      <c r="J89" s="23">
        <f>Data!K86-Data!$J86</f>
        <v>5.8252830000000005E-2</v>
      </c>
    </row>
    <row r="90" spans="1:10" x14ac:dyDescent="0.25">
      <c r="A90" s="4">
        <v>44985</v>
      </c>
      <c r="B90" s="23">
        <f>Data!B87-Data!$J87</f>
        <v>-4.8137506657838822E-2</v>
      </c>
      <c r="C90" s="23">
        <f>Data!C87-Data!$J87</f>
        <v>4.9159588104486465E-2</v>
      </c>
      <c r="D90" s="23">
        <f>Data!D87-Data!$J87</f>
        <v>-8.8633069956302643E-2</v>
      </c>
      <c r="E90" s="23">
        <f>Data!E87-Data!$J87</f>
        <v>-5.8656418883800507E-2</v>
      </c>
      <c r="F90" s="23">
        <f>Data!F87-Data!$J87</f>
        <v>-6.9793993794918061E-2</v>
      </c>
      <c r="G90" s="23">
        <f>Data!G87-Data!$J87</f>
        <v>-1.5494183824956417E-2</v>
      </c>
      <c r="H90" s="23">
        <f>Data!H87-Data!$J87</f>
        <v>-3.6658181065320969E-2</v>
      </c>
      <c r="I90" s="23">
        <f>Data!I87-Data!$J87</f>
        <v>-9.306817706823349E-2</v>
      </c>
      <c r="J90" s="23">
        <f>Data!K87-Data!$J87</f>
        <v>-2.9512449999999999E-2</v>
      </c>
    </row>
    <row r="91" spans="1:10" x14ac:dyDescent="0.25">
      <c r="A91" s="4">
        <v>45016</v>
      </c>
      <c r="B91" s="23">
        <f>Data!B88-Data!$J88</f>
        <v>-5.8745882160961627E-3</v>
      </c>
      <c r="C91" s="23">
        <f>Data!C88-Data!$J88</f>
        <v>0.1259006424188614</v>
      </c>
      <c r="D91" s="23">
        <f>Data!D88-Data!$J88</f>
        <v>-1.3406540419906377E-3</v>
      </c>
      <c r="E91" s="23">
        <f>Data!E88-Data!$J88</f>
        <v>7.753292502462864E-3</v>
      </c>
      <c r="F91" s="23">
        <f>Data!F88-Data!$J88</f>
        <v>-1.538726795837283E-3</v>
      </c>
      <c r="G91" s="23">
        <f>Data!G88-Data!$J88</f>
        <v>3.7840878063440324E-2</v>
      </c>
      <c r="H91" s="23">
        <f>Data!H88-Data!$J88</f>
        <v>-0.16336673364639281</v>
      </c>
      <c r="I91" s="23">
        <f>Data!I88-Data!$J88</f>
        <v>6.888628139495849E-2</v>
      </c>
      <c r="J91" s="23">
        <f>Data!K88-Data!$J88</f>
        <v>3.1451570000000005E-2</v>
      </c>
    </row>
    <row r="92" spans="1:10" x14ac:dyDescent="0.25">
      <c r="A92" s="4">
        <v>45044</v>
      </c>
      <c r="B92" s="23">
        <f>Data!B89-Data!$J89</f>
        <v>7.5653679311275479E-2</v>
      </c>
      <c r="C92" s="23">
        <f>Data!C89-Data!$J89</f>
        <v>3.1751073539257046E-2</v>
      </c>
      <c r="D92" s="23">
        <f>Data!D89-Data!$J89</f>
        <v>1.486545579135418E-2</v>
      </c>
      <c r="E92" s="23">
        <f>Data!E89-Data!$J89</f>
        <v>5.262901225686073E-2</v>
      </c>
      <c r="F92" s="23">
        <f>Data!F89-Data!$J89</f>
        <v>1.1735341154038906E-2</v>
      </c>
      <c r="G92" s="23">
        <f>Data!G89-Data!$J89</f>
        <v>2.0372528225183487E-2</v>
      </c>
      <c r="H92" s="23">
        <f>Data!H89-Data!$J89</f>
        <v>2.0276235058903695E-2</v>
      </c>
      <c r="I92" s="23">
        <f>Data!I89-Data!$J89</f>
        <v>-4.8509892433881763E-2</v>
      </c>
      <c r="J92" s="23">
        <f>Data!K89-Data!$J89</f>
        <v>1.114236E-2</v>
      </c>
    </row>
    <row r="93" spans="1:10" x14ac:dyDescent="0.25">
      <c r="A93" s="4">
        <v>45077</v>
      </c>
      <c r="B93" s="23">
        <f>Data!B90-Data!$J90</f>
        <v>-0.13246594235897063</v>
      </c>
      <c r="C93" s="23">
        <f>Data!C90-Data!$J90</f>
        <v>2.2266398587822915E-2</v>
      </c>
      <c r="D93" s="23">
        <f>Data!D90-Data!$J90</f>
        <v>-5.3510146743059157E-2</v>
      </c>
      <c r="E93" s="23">
        <f>Data!E90-Data!$J90</f>
        <v>-4.9110075986385344E-2</v>
      </c>
      <c r="F93" s="23">
        <f>Data!F90-Data!$J90</f>
        <v>-8.6010521805286413E-2</v>
      </c>
      <c r="G93" s="23">
        <f>Data!G90-Data!$J90</f>
        <v>-2.6982168263196944E-2</v>
      </c>
      <c r="H93" s="23">
        <f>Data!H90-Data!$J90</f>
        <v>-5.4487968391180037E-2</v>
      </c>
      <c r="I93" s="23">
        <f>Data!I90-Data!$J90</f>
        <v>0.19432082905769349</v>
      </c>
      <c r="J93" s="23">
        <f>Data!K90-Data!$J90</f>
        <v>-1.1176759999999997E-3</v>
      </c>
    </row>
    <row r="94" spans="1:10" x14ac:dyDescent="0.25">
      <c r="A94" s="4">
        <v>45107</v>
      </c>
      <c r="B94" s="23">
        <f>Data!B91-Data!$J91</f>
        <v>4.5618318676948544E-2</v>
      </c>
      <c r="C94" s="23">
        <f>Data!C91-Data!$J91</f>
        <v>7.7946223974227902E-2</v>
      </c>
      <c r="D94" s="23">
        <f>Data!D91-Data!$J91</f>
        <v>9.1925211906433102E-2</v>
      </c>
      <c r="E94" s="23">
        <f>Data!E91-Data!$J91</f>
        <v>6.3457802593708035E-2</v>
      </c>
      <c r="F94" s="23">
        <f>Data!F91-Data!$J91</f>
        <v>3.9783258646726605E-2</v>
      </c>
      <c r="G94" s="23">
        <f>Data!G91-Data!$J91</f>
        <v>6.6198118686676022E-2</v>
      </c>
      <c r="H94" s="23">
        <f>Data!H91-Data!$J91</f>
        <v>3.6302250534296032E-2</v>
      </c>
      <c r="I94" s="23">
        <f>Data!I91-Data!$J91</f>
        <v>0.11051554298400879</v>
      </c>
      <c r="J94" s="23">
        <f>Data!K91-Data!$J91</f>
        <v>6.0727509999999998E-2</v>
      </c>
    </row>
    <row r="95" spans="1:10" x14ac:dyDescent="0.25">
      <c r="A95" s="4">
        <v>45138</v>
      </c>
      <c r="B95" s="23">
        <f>Data!B92-Data!$J92</f>
        <v>-4.5932600087253382E-3</v>
      </c>
      <c r="C95" s="23">
        <f>Data!C92-Data!$J92</f>
        <v>3.6191848844289776E-2</v>
      </c>
      <c r="D95" s="23">
        <f>Data!D92-Data!$J92</f>
        <v>7.0184463441371914E-2</v>
      </c>
      <c r="E95" s="23">
        <f>Data!E92-Data!$J92</f>
        <v>7.6435141190886492E-3</v>
      </c>
      <c r="F95" s="23">
        <f>Data!F92-Data!$J92</f>
        <v>-7.057950478792191E-2</v>
      </c>
      <c r="G95" s="23">
        <f>Data!G92-Data!$J92</f>
        <v>1.2550566151738166E-2</v>
      </c>
      <c r="H95" s="23">
        <f>Data!H92-Data!$J92</f>
        <v>0.11087119001150131</v>
      </c>
      <c r="I95" s="23">
        <f>Data!I92-Data!$J92</f>
        <v>-7.9506777301430707E-3</v>
      </c>
      <c r="J95" s="23">
        <f>Data!K92-Data!$J92</f>
        <v>2.6638910000000002E-2</v>
      </c>
    </row>
    <row r="96" spans="1:10" x14ac:dyDescent="0.25">
      <c r="A96" s="4">
        <v>45169</v>
      </c>
      <c r="B96" s="23">
        <f>Data!B93-Data!$J93</f>
        <v>4.0818953692913051E-2</v>
      </c>
      <c r="C96" s="23">
        <f>Data!C93-Data!$J93</f>
        <v>-2.5742189800366765E-3</v>
      </c>
      <c r="D96" s="23">
        <f>Data!D93-Data!$J93</f>
        <v>-8.8434239923954015E-3</v>
      </c>
      <c r="E96" s="23">
        <f>Data!E93-Data!$J93</f>
        <v>-3.2315949171781544E-2</v>
      </c>
      <c r="F96" s="23">
        <f>Data!F93-Data!$J93</f>
        <v>2.1908381760120391E-2</v>
      </c>
      <c r="G96" s="23">
        <f>Data!G93-Data!$J93</f>
        <v>1.6268171176314353E-2</v>
      </c>
      <c r="H96" s="23">
        <f>Data!H93-Data!$J93</f>
        <v>-0.10106249731779099</v>
      </c>
      <c r="I96" s="23">
        <f>Data!I93-Data!$J93</f>
        <v>-1.655095648765564E-2</v>
      </c>
      <c r="J96" s="23">
        <f>Data!K93-Data!$J93</f>
        <v>-2.2216430000000002E-2</v>
      </c>
    </row>
    <row r="97" spans="1:10" x14ac:dyDescent="0.25">
      <c r="A97" s="4">
        <v>45198</v>
      </c>
      <c r="B97" s="23">
        <f>Data!B94-Data!$J94</f>
        <v>5.3169189167022707E-2</v>
      </c>
      <c r="C97" s="23">
        <f>Data!C94-Data!$J94</f>
        <v>-3.7761436629295347E-2</v>
      </c>
      <c r="D97" s="23">
        <f>Data!D94-Data!$J94</f>
        <v>-8.9495228457450865E-2</v>
      </c>
      <c r="E97" s="23">
        <f>Data!E94-Data!$J94</f>
        <v>-4.0977345633506773E-2</v>
      </c>
      <c r="F97" s="23">
        <f>Data!F94-Data!$J94</f>
        <v>-7.7770547795295714E-2</v>
      </c>
      <c r="G97" s="23">
        <f>Data!G94-Data!$J94</f>
        <v>-2.0781200233101843E-2</v>
      </c>
      <c r="H97" s="23">
        <f>Data!H94-Data!$J94</f>
        <v>-4.9294801282882689E-2</v>
      </c>
      <c r="I97" s="23">
        <f>Data!I94-Data!$J94</f>
        <v>-0.13361190431118011</v>
      </c>
      <c r="J97" s="23">
        <f>Data!K94-Data!$J94</f>
        <v>-5.3019289999999997E-2</v>
      </c>
    </row>
    <row r="98" spans="1:10" x14ac:dyDescent="0.25">
      <c r="A98" s="4">
        <v>45230</v>
      </c>
      <c r="B98" s="23">
        <f>Data!B95-Data!$J95</f>
        <v>-0.10446188838481903</v>
      </c>
      <c r="C98" s="23">
        <f>Data!C95-Data!$J95</f>
        <v>-2.2067759719491004E-2</v>
      </c>
      <c r="D98" s="23">
        <f>Data!D95-Data!$J95</f>
        <v>-6.2517053049802776E-2</v>
      </c>
      <c r="E98" s="23">
        <f>Data!E95-Data!$J95</f>
        <v>-5.2276267272233959E-2</v>
      </c>
      <c r="F98" s="23">
        <f>Data!F95-Data!$J95</f>
        <v>9.9743110525608067E-2</v>
      </c>
      <c r="G98" s="23">
        <f>Data!G95-Data!$J95</f>
        <v>1.7059590134024621E-2</v>
      </c>
      <c r="H98" s="23">
        <f>Data!H95-Data!$J95</f>
        <v>-4.2683894348144527E-2</v>
      </c>
      <c r="I98" s="23">
        <f>Data!I95-Data!$J95</f>
        <v>8.5580711650848393E-2</v>
      </c>
      <c r="J98" s="23">
        <f>Data!K95-Data!$J95</f>
        <v>-2.6679689999999999E-2</v>
      </c>
    </row>
    <row r="99" spans="1:10" x14ac:dyDescent="0.25">
      <c r="A99" s="4">
        <v>45260</v>
      </c>
      <c r="B99" s="23">
        <f>Data!B96-Data!$J96</f>
        <v>-2.4806240597367288E-2</v>
      </c>
      <c r="C99" s="23">
        <f>Data!C96-Data!$J96</f>
        <v>0.11683728543519974</v>
      </c>
      <c r="D99" s="23">
        <f>Data!D96-Data!$J96</f>
        <v>0.10410394517183304</v>
      </c>
      <c r="E99" s="23">
        <f>Data!E96-Data!$J96</f>
        <v>4.6226989454030989E-2</v>
      </c>
      <c r="F99" s="23">
        <f>Data!F96-Data!$J96</f>
        <v>8.6690254485607146E-2</v>
      </c>
      <c r="G99" s="23">
        <f>Data!G96-Data!$J96</f>
        <v>-5.1643136912584306E-2</v>
      </c>
      <c r="H99" s="23">
        <f>Data!H96-Data!$J96</f>
        <v>0.16226665673255922</v>
      </c>
      <c r="I99" s="23">
        <f>Data!I96-Data!$J96</f>
        <v>0.14687886831760408</v>
      </c>
      <c r="J99" s="23">
        <f>Data!K96-Data!$J96</f>
        <v>8.4779259999999995E-2</v>
      </c>
    </row>
    <row r="100" spans="1:10" ht="15.75" thickBot="1" x14ac:dyDescent="0.3">
      <c r="A100" s="5">
        <v>45289</v>
      </c>
      <c r="B100" s="23">
        <f>Data!B97-Data!$J97</f>
        <v>-3.1163874867558478E-2</v>
      </c>
      <c r="C100" s="23">
        <f>Data!C97-Data!$J97</f>
        <v>4.4222118479013445E-2</v>
      </c>
      <c r="D100" s="23">
        <f>Data!D97-Data!$J97</f>
        <v>0.10115790195465088</v>
      </c>
      <c r="E100" s="23">
        <f>Data!E97-Data!$J97</f>
        <v>9.1488670155405998E-3</v>
      </c>
      <c r="F100" s="23">
        <f>Data!F97-Data!$J97</f>
        <v>-2.0736239704489706E-2</v>
      </c>
      <c r="G100" s="23">
        <f>Data!G97-Data!$J97</f>
        <v>1.1950185668468475E-2</v>
      </c>
      <c r="H100" s="23">
        <f>Data!H97-Data!$J97</f>
        <v>9.9996438395977022E-2</v>
      </c>
      <c r="I100" s="23">
        <f>Data!I97-Data!$J97</f>
        <v>2.2938018810749056E-2</v>
      </c>
      <c r="J100" s="23">
        <f>Data!K97-Data!$J97</f>
        <v>3.992917E-2</v>
      </c>
    </row>
  </sheetData>
  <mergeCells count="11">
    <mergeCell ref="D3:D4"/>
    <mergeCell ref="C3:C4"/>
    <mergeCell ref="B3:B4"/>
    <mergeCell ref="A3:A4"/>
    <mergeCell ref="A1:J2"/>
    <mergeCell ref="J3:J4"/>
    <mergeCell ref="I3:I4"/>
    <mergeCell ref="H3:H4"/>
    <mergeCell ref="G3:G4"/>
    <mergeCell ref="F3:F4"/>
    <mergeCell ref="E3:E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1457-806E-46BC-B31F-969A3A752390}">
  <dimension ref="A1:I158"/>
  <sheetViews>
    <sheetView topLeftCell="A6" workbookViewId="0">
      <selection activeCell="B29" sqref="B29"/>
    </sheetView>
  </sheetViews>
  <sheetFormatPr defaultColWidth="9.140625" defaultRowHeight="15" x14ac:dyDescent="0.25"/>
  <cols>
    <col min="1" max="1" width="17.42578125" bestFit="1" customWidth="1"/>
    <col min="2" max="2" width="12.7109375" bestFit="1" customWidth="1"/>
    <col min="3" max="3" width="14.5703125" bestFit="1" customWidth="1"/>
    <col min="4" max="4" width="12.7109375" bestFit="1" customWidth="1"/>
    <col min="5" max="5" width="12" bestFit="1" customWidth="1"/>
    <col min="6" max="6" width="13.42578125" bestFit="1" customWidth="1"/>
  </cols>
  <sheetData>
    <row r="1" spans="1:9" x14ac:dyDescent="0.25">
      <c r="A1" s="41" t="s">
        <v>84</v>
      </c>
    </row>
    <row r="2" spans="1:9" ht="15.75" thickBot="1" x14ac:dyDescent="0.3"/>
    <row r="3" spans="1:9" x14ac:dyDescent="0.25">
      <c r="A3" s="34" t="s">
        <v>93</v>
      </c>
      <c r="B3" s="34"/>
    </row>
    <row r="4" spans="1:9" x14ac:dyDescent="0.25">
      <c r="A4" t="s">
        <v>94</v>
      </c>
      <c r="B4">
        <v>0.52983431411833648</v>
      </c>
    </row>
    <row r="5" spans="1:9" x14ac:dyDescent="0.25">
      <c r="A5" t="s">
        <v>95</v>
      </c>
      <c r="B5">
        <v>0.28072440041724811</v>
      </c>
    </row>
    <row r="6" spans="1:9" x14ac:dyDescent="0.25">
      <c r="A6" t="s">
        <v>96</v>
      </c>
      <c r="B6">
        <v>0.27307253233658052</v>
      </c>
    </row>
    <row r="7" spans="1:9" x14ac:dyDescent="0.25">
      <c r="A7" t="s">
        <v>97</v>
      </c>
      <c r="B7" s="36">
        <v>7.2282483909883996E-2</v>
      </c>
    </row>
    <row r="8" spans="1:9" ht="15.75" thickBot="1" x14ac:dyDescent="0.3">
      <c r="A8" s="3" t="s">
        <v>98</v>
      </c>
      <c r="B8" s="3">
        <v>96</v>
      </c>
    </row>
    <row r="10" spans="1:9" ht="15.75" thickBot="1" x14ac:dyDescent="0.3">
      <c r="A10" t="s">
        <v>99</v>
      </c>
    </row>
    <row r="11" spans="1:9" x14ac:dyDescent="0.25">
      <c r="A11" s="28"/>
      <c r="B11" s="28" t="s">
        <v>100</v>
      </c>
      <c r="C11" s="28" t="s">
        <v>101</v>
      </c>
      <c r="D11" s="28" t="s">
        <v>102</v>
      </c>
      <c r="E11" s="28" t="s">
        <v>103</v>
      </c>
      <c r="F11" s="28" t="s">
        <v>104</v>
      </c>
    </row>
    <row r="12" spans="1:9" x14ac:dyDescent="0.25">
      <c r="A12" t="s">
        <v>105</v>
      </c>
      <c r="B12">
        <v>1</v>
      </c>
      <c r="C12">
        <v>0.19168089353963913</v>
      </c>
      <c r="D12">
        <v>0.19168089353963913</v>
      </c>
      <c r="E12">
        <v>36.687041315636066</v>
      </c>
      <c r="F12">
        <v>2.8395119986105393E-8</v>
      </c>
    </row>
    <row r="13" spans="1:9" x14ac:dyDescent="0.25">
      <c r="A13" t="s">
        <v>106</v>
      </c>
      <c r="B13">
        <v>94</v>
      </c>
      <c r="C13">
        <v>0.49112720313716829</v>
      </c>
      <c r="D13">
        <v>5.2247574801826411E-3</v>
      </c>
    </row>
    <row r="14" spans="1:9" ht="15.75" thickBot="1" x14ac:dyDescent="0.3">
      <c r="A14" s="3" t="s">
        <v>41</v>
      </c>
      <c r="B14" s="3">
        <v>95</v>
      </c>
      <c r="C14" s="3">
        <v>0.68280809667680742</v>
      </c>
      <c r="D14" s="3"/>
      <c r="E14" s="3"/>
      <c r="F14" s="3"/>
    </row>
    <row r="15" spans="1:9" ht="15.75" thickBot="1" x14ac:dyDescent="0.3"/>
    <row r="16" spans="1:9" x14ac:dyDescent="0.25">
      <c r="A16" s="28"/>
      <c r="B16" s="28" t="s">
        <v>107</v>
      </c>
      <c r="C16" s="28" t="s">
        <v>97</v>
      </c>
      <c r="D16" s="28" t="s">
        <v>108</v>
      </c>
      <c r="E16" s="28" t="s">
        <v>109</v>
      </c>
      <c r="F16" s="28" t="s">
        <v>110</v>
      </c>
      <c r="G16" s="28" t="s">
        <v>111</v>
      </c>
      <c r="H16" s="28" t="s">
        <v>112</v>
      </c>
      <c r="I16" s="28" t="s">
        <v>113</v>
      </c>
    </row>
    <row r="17" spans="1:9" x14ac:dyDescent="0.25">
      <c r="A17" t="s">
        <v>114</v>
      </c>
      <c r="B17" s="36">
        <v>3.4746323967726502E-4</v>
      </c>
      <c r="C17">
        <v>7.5078791607292522E-3</v>
      </c>
      <c r="D17">
        <v>4.627981247949594E-2</v>
      </c>
      <c r="E17">
        <v>0.96318540903199235</v>
      </c>
      <c r="F17">
        <v>-1.4559606832652444E-2</v>
      </c>
      <c r="G17">
        <v>1.5254533312006975E-2</v>
      </c>
      <c r="H17">
        <v>-1.4559606832652444E-2</v>
      </c>
      <c r="I17">
        <v>1.5254533312006975E-2</v>
      </c>
    </row>
    <row r="18" spans="1:9" ht="15.75" thickBot="1" x14ac:dyDescent="0.3">
      <c r="A18" s="3" t="s">
        <v>92</v>
      </c>
      <c r="B18" s="35">
        <v>0.96828098585262801</v>
      </c>
      <c r="C18" s="3">
        <v>0.15986193273158125</v>
      </c>
      <c r="D18" s="3">
        <v>6.0569828558149368</v>
      </c>
      <c r="E18" s="3">
        <v>2.8395119986105393E-8</v>
      </c>
      <c r="F18" s="3">
        <v>0.65087137095197134</v>
      </c>
      <c r="G18" s="3">
        <v>1.2856906007532853</v>
      </c>
      <c r="H18" s="3">
        <v>0.65087137095197134</v>
      </c>
      <c r="I18" s="3">
        <v>1.2856906007532853</v>
      </c>
    </row>
    <row r="21" spans="1:9" x14ac:dyDescent="0.25">
      <c r="A21" s="41" t="s">
        <v>85</v>
      </c>
    </row>
    <row r="22" spans="1:9" ht="15.75" thickBot="1" x14ac:dyDescent="0.3"/>
    <row r="23" spans="1:9" x14ac:dyDescent="0.25">
      <c r="A23" s="34" t="s">
        <v>93</v>
      </c>
      <c r="B23" s="34"/>
    </row>
    <row r="24" spans="1:9" x14ac:dyDescent="0.25">
      <c r="A24" t="s">
        <v>94</v>
      </c>
      <c r="B24">
        <v>0.52620883838130894</v>
      </c>
    </row>
    <row r="25" spans="1:9" x14ac:dyDescent="0.25">
      <c r="A25" t="s">
        <v>95</v>
      </c>
      <c r="B25">
        <v>0.27689574159060654</v>
      </c>
    </row>
    <row r="26" spans="1:9" x14ac:dyDescent="0.25">
      <c r="A26" t="s">
        <v>96</v>
      </c>
      <c r="B26">
        <v>0.26920314309688959</v>
      </c>
    </row>
    <row r="27" spans="1:9" x14ac:dyDescent="0.25">
      <c r="A27" t="s">
        <v>97</v>
      </c>
      <c r="B27">
        <v>9.1312552964151555E-2</v>
      </c>
    </row>
    <row r="28" spans="1:9" ht="15.75" thickBot="1" x14ac:dyDescent="0.3">
      <c r="A28" s="3" t="s">
        <v>98</v>
      </c>
      <c r="B28" s="3">
        <v>96</v>
      </c>
    </row>
    <row r="30" spans="1:9" ht="15.75" thickBot="1" x14ac:dyDescent="0.3">
      <c r="A30" t="s">
        <v>99</v>
      </c>
    </row>
    <row r="31" spans="1:9" x14ac:dyDescent="0.25">
      <c r="A31" s="28"/>
      <c r="B31" s="28" t="s">
        <v>100</v>
      </c>
      <c r="C31" s="28" t="s">
        <v>101</v>
      </c>
      <c r="D31" s="28" t="s">
        <v>102</v>
      </c>
      <c r="E31" s="28" t="s">
        <v>103</v>
      </c>
      <c r="F31" s="28" t="s">
        <v>104</v>
      </c>
    </row>
    <row r="32" spans="1:9" x14ac:dyDescent="0.25">
      <c r="A32" t="s">
        <v>105</v>
      </c>
      <c r="B32">
        <v>1</v>
      </c>
      <c r="C32">
        <v>0.30012638800747704</v>
      </c>
      <c r="D32">
        <v>0.30012638800747704</v>
      </c>
      <c r="E32">
        <v>35.995085641966803</v>
      </c>
      <c r="F32">
        <v>3.6676710771106897E-8</v>
      </c>
    </row>
    <row r="33" spans="1:9" x14ac:dyDescent="0.25">
      <c r="A33" t="s">
        <v>106</v>
      </c>
      <c r="B33">
        <v>94</v>
      </c>
      <c r="C33">
        <v>0.78377033891011239</v>
      </c>
      <c r="D33">
        <v>8.3379823288309823E-3</v>
      </c>
    </row>
    <row r="34" spans="1:9" ht="15.75" thickBot="1" x14ac:dyDescent="0.3">
      <c r="A34" s="3" t="s">
        <v>41</v>
      </c>
      <c r="B34" s="3">
        <v>95</v>
      </c>
      <c r="C34" s="3">
        <v>1.0838967269175894</v>
      </c>
      <c r="D34" s="3"/>
      <c r="E34" s="3"/>
      <c r="F34" s="3"/>
    </row>
    <row r="35" spans="1:9" ht="15.75" thickBot="1" x14ac:dyDescent="0.3"/>
    <row r="36" spans="1:9" x14ac:dyDescent="0.25">
      <c r="A36" s="28"/>
      <c r="B36" s="28" t="s">
        <v>107</v>
      </c>
      <c r="C36" s="28" t="s">
        <v>97</v>
      </c>
      <c r="D36" s="28" t="s">
        <v>108</v>
      </c>
      <c r="E36" s="28" t="s">
        <v>109</v>
      </c>
      <c r="F36" s="28" t="s">
        <v>110</v>
      </c>
      <c r="G36" s="28" t="s">
        <v>111</v>
      </c>
      <c r="H36" s="28" t="s">
        <v>112</v>
      </c>
      <c r="I36" s="28" t="s">
        <v>113</v>
      </c>
    </row>
    <row r="37" spans="1:9" x14ac:dyDescent="0.25">
      <c r="A37" t="s">
        <v>114</v>
      </c>
      <c r="B37">
        <v>-8.987137826110627E-3</v>
      </c>
      <c r="C37">
        <v>9.48450546286214E-3</v>
      </c>
      <c r="D37">
        <v>-0.94755998204661029</v>
      </c>
      <c r="E37">
        <v>0.34578313405506911</v>
      </c>
      <c r="F37">
        <v>-2.781884575713529E-2</v>
      </c>
      <c r="G37">
        <v>9.8445701049140362E-3</v>
      </c>
      <c r="H37">
        <v>-2.781884575713529E-2</v>
      </c>
      <c r="I37">
        <v>9.8445701049140362E-3</v>
      </c>
    </row>
    <row r="38" spans="1:9" ht="15.75" thickBot="1" x14ac:dyDescent="0.3">
      <c r="A38" s="3" t="s">
        <v>92</v>
      </c>
      <c r="B38" s="3">
        <v>1.2116134391681874</v>
      </c>
      <c r="C38" s="3">
        <v>0.20194935771303893</v>
      </c>
      <c r="D38" s="3">
        <v>5.9995904561867253</v>
      </c>
      <c r="E38" s="3">
        <v>3.6676710771105945E-8</v>
      </c>
      <c r="F38" s="3">
        <v>0.81063825535904399</v>
      </c>
      <c r="G38" s="3">
        <v>1.6125886229773307</v>
      </c>
      <c r="H38" s="3">
        <v>0.81063825535904399</v>
      </c>
      <c r="I38" s="3">
        <v>1.6125886229773307</v>
      </c>
    </row>
    <row r="41" spans="1:9" x14ac:dyDescent="0.25">
      <c r="A41" s="41" t="s">
        <v>86</v>
      </c>
    </row>
    <row r="42" spans="1:9" ht="15.75" thickBot="1" x14ac:dyDescent="0.3"/>
    <row r="43" spans="1:9" x14ac:dyDescent="0.25">
      <c r="A43" s="34" t="s">
        <v>93</v>
      </c>
      <c r="B43" s="34"/>
    </row>
    <row r="44" spans="1:9" x14ac:dyDescent="0.25">
      <c r="A44" t="s">
        <v>94</v>
      </c>
      <c r="B44">
        <v>0.73440795064675513</v>
      </c>
    </row>
    <row r="45" spans="1:9" x14ac:dyDescent="0.25">
      <c r="A45" t="s">
        <v>95</v>
      </c>
      <c r="B45">
        <v>0.53935503797316664</v>
      </c>
    </row>
    <row r="46" spans="1:9" x14ac:dyDescent="0.25">
      <c r="A46" t="s">
        <v>96</v>
      </c>
      <c r="B46">
        <v>0.53445455965373223</v>
      </c>
    </row>
    <row r="47" spans="1:9" x14ac:dyDescent="0.25">
      <c r="A47" t="s">
        <v>97</v>
      </c>
      <c r="B47">
        <v>4.4252581771783178E-2</v>
      </c>
    </row>
    <row r="48" spans="1:9" ht="15.75" thickBot="1" x14ac:dyDescent="0.3">
      <c r="A48" s="3" t="s">
        <v>98</v>
      </c>
      <c r="B48" s="3">
        <v>96</v>
      </c>
    </row>
    <row r="50" spans="1:9" ht="15.75" thickBot="1" x14ac:dyDescent="0.3">
      <c r="A50" t="s">
        <v>99</v>
      </c>
    </row>
    <row r="51" spans="1:9" x14ac:dyDescent="0.25">
      <c r="A51" s="28"/>
      <c r="B51" s="28" t="s">
        <v>100</v>
      </c>
      <c r="C51" s="28" t="s">
        <v>101</v>
      </c>
      <c r="D51" s="28" t="s">
        <v>102</v>
      </c>
      <c r="E51" s="28" t="s">
        <v>103</v>
      </c>
      <c r="F51" s="28" t="s">
        <v>104</v>
      </c>
    </row>
    <row r="52" spans="1:9" x14ac:dyDescent="0.25">
      <c r="A52" t="s">
        <v>105</v>
      </c>
      <c r="B52">
        <v>1</v>
      </c>
      <c r="C52">
        <v>0.21553286114049</v>
      </c>
      <c r="D52">
        <v>0.21553286114049</v>
      </c>
      <c r="E52">
        <v>110.06171292181492</v>
      </c>
      <c r="F52">
        <v>1.6700053197990204E-17</v>
      </c>
    </row>
    <row r="53" spans="1:9" x14ac:dyDescent="0.25">
      <c r="A53" t="s">
        <v>106</v>
      </c>
      <c r="B53">
        <v>94</v>
      </c>
      <c r="C53">
        <v>0.18407935338602552</v>
      </c>
      <c r="D53">
        <v>1.9582909934683567E-3</v>
      </c>
    </row>
    <row r="54" spans="1:9" ht="15.75" thickBot="1" x14ac:dyDescent="0.3">
      <c r="A54" s="3" t="s">
        <v>41</v>
      </c>
      <c r="B54" s="3">
        <v>95</v>
      </c>
      <c r="C54" s="3">
        <v>0.39961221452651552</v>
      </c>
      <c r="D54" s="3"/>
      <c r="E54" s="3"/>
      <c r="F54" s="3"/>
    </row>
    <row r="55" spans="1:9" ht="15.75" thickBot="1" x14ac:dyDescent="0.3"/>
    <row r="56" spans="1:9" x14ac:dyDescent="0.25">
      <c r="A56" s="28"/>
      <c r="B56" s="28" t="s">
        <v>107</v>
      </c>
      <c r="C56" s="28" t="s">
        <v>97</v>
      </c>
      <c r="D56" s="28" t="s">
        <v>108</v>
      </c>
      <c r="E56" s="28" t="s">
        <v>109</v>
      </c>
      <c r="F56" s="28" t="s">
        <v>110</v>
      </c>
      <c r="G56" s="28" t="s">
        <v>111</v>
      </c>
      <c r="H56" s="28" t="s">
        <v>112</v>
      </c>
      <c r="I56" s="28" t="s">
        <v>113</v>
      </c>
    </row>
    <row r="57" spans="1:9" x14ac:dyDescent="0.25">
      <c r="A57" t="s">
        <v>114</v>
      </c>
      <c r="B57">
        <v>3.9708905850627148E-3</v>
      </c>
      <c r="C57">
        <v>4.596452951271735E-3</v>
      </c>
      <c r="D57">
        <v>0.86390323737873975</v>
      </c>
      <c r="E57">
        <v>0.38984012897633724</v>
      </c>
      <c r="F57">
        <v>-5.1554744991242595E-3</v>
      </c>
      <c r="G57">
        <v>1.3097255669249689E-2</v>
      </c>
      <c r="H57">
        <v>-5.1554744991242595E-3</v>
      </c>
      <c r="I57">
        <v>1.3097255669249689E-2</v>
      </c>
    </row>
    <row r="58" spans="1:9" ht="15.75" thickBot="1" x14ac:dyDescent="0.3">
      <c r="A58" s="3" t="s">
        <v>92</v>
      </c>
      <c r="B58" s="3">
        <v>1.0267595196546964</v>
      </c>
      <c r="C58" s="3">
        <v>9.7870228964727787E-2</v>
      </c>
      <c r="D58" s="3">
        <v>10.491030117286618</v>
      </c>
      <c r="E58" s="3">
        <v>1.6700053197990442E-17</v>
      </c>
      <c r="F58" s="3">
        <v>0.83243588578437722</v>
      </c>
      <c r="G58" s="3">
        <v>1.2210831535250155</v>
      </c>
      <c r="H58" s="3">
        <v>0.83243588578437722</v>
      </c>
      <c r="I58" s="3">
        <v>1.2210831535250155</v>
      </c>
    </row>
    <row r="61" spans="1:9" x14ac:dyDescent="0.25">
      <c r="A61" s="41" t="s">
        <v>87</v>
      </c>
    </row>
    <row r="62" spans="1:9" ht="15.75" thickBot="1" x14ac:dyDescent="0.3"/>
    <row r="63" spans="1:9" x14ac:dyDescent="0.25">
      <c r="A63" s="34" t="s">
        <v>93</v>
      </c>
      <c r="B63" s="34"/>
    </row>
    <row r="64" spans="1:9" x14ac:dyDescent="0.25">
      <c r="A64" t="s">
        <v>94</v>
      </c>
      <c r="B64">
        <v>0.54333516494277723</v>
      </c>
    </row>
    <row r="65" spans="1:9" x14ac:dyDescent="0.25">
      <c r="A65" t="s">
        <v>95</v>
      </c>
      <c r="B65">
        <v>0.29521310146339491</v>
      </c>
    </row>
    <row r="66" spans="1:9" x14ac:dyDescent="0.25">
      <c r="A66" t="s">
        <v>96</v>
      </c>
      <c r="B66">
        <v>0.28771536850023954</v>
      </c>
    </row>
    <row r="67" spans="1:9" x14ac:dyDescent="0.25">
      <c r="A67" t="s">
        <v>97</v>
      </c>
      <c r="B67">
        <v>3.934900417776574E-2</v>
      </c>
    </row>
    <row r="68" spans="1:9" ht="15.75" thickBot="1" x14ac:dyDescent="0.3">
      <c r="A68" s="3" t="s">
        <v>98</v>
      </c>
      <c r="B68" s="3">
        <v>96</v>
      </c>
    </row>
    <row r="70" spans="1:9" ht="15.75" thickBot="1" x14ac:dyDescent="0.3">
      <c r="A70" t="s">
        <v>99</v>
      </c>
    </row>
    <row r="71" spans="1:9" x14ac:dyDescent="0.25">
      <c r="A71" s="28"/>
      <c r="B71" s="28" t="s">
        <v>100</v>
      </c>
      <c r="C71" s="28" t="s">
        <v>101</v>
      </c>
      <c r="D71" s="28" t="s">
        <v>102</v>
      </c>
      <c r="E71" s="28" t="s">
        <v>103</v>
      </c>
      <c r="F71" s="28" t="s">
        <v>104</v>
      </c>
    </row>
    <row r="72" spans="1:9" x14ac:dyDescent="0.25">
      <c r="A72" t="s">
        <v>105</v>
      </c>
      <c r="B72">
        <v>1</v>
      </c>
      <c r="C72">
        <v>6.0963957363076055E-2</v>
      </c>
      <c r="D72">
        <v>6.0963957363076055E-2</v>
      </c>
      <c r="E72">
        <v>39.373648396669005</v>
      </c>
      <c r="F72">
        <v>1.0657602418003099E-8</v>
      </c>
    </row>
    <row r="73" spans="1:9" x14ac:dyDescent="0.25">
      <c r="A73" t="s">
        <v>106</v>
      </c>
      <c r="B73">
        <v>94</v>
      </c>
      <c r="C73">
        <v>0.14554434819949164</v>
      </c>
      <c r="D73">
        <v>1.5483441297818258E-3</v>
      </c>
    </row>
    <row r="74" spans="1:9" ht="15.75" thickBot="1" x14ac:dyDescent="0.3">
      <c r="A74" s="3" t="s">
        <v>41</v>
      </c>
      <c r="B74" s="3">
        <v>95</v>
      </c>
      <c r="C74" s="3">
        <v>0.20650830556256769</v>
      </c>
      <c r="D74" s="3"/>
      <c r="E74" s="3"/>
      <c r="F74" s="3"/>
    </row>
    <row r="75" spans="1:9" ht="15.75" thickBot="1" x14ac:dyDescent="0.3"/>
    <row r="76" spans="1:9" x14ac:dyDescent="0.25">
      <c r="A76" s="28"/>
      <c r="B76" s="28" t="s">
        <v>107</v>
      </c>
      <c r="C76" s="28" t="s">
        <v>97</v>
      </c>
      <c r="D76" s="28" t="s">
        <v>108</v>
      </c>
      <c r="E76" s="28" t="s">
        <v>109</v>
      </c>
      <c r="F76" s="28" t="s">
        <v>110</v>
      </c>
      <c r="G76" s="28" t="s">
        <v>111</v>
      </c>
      <c r="H76" s="28" t="s">
        <v>112</v>
      </c>
      <c r="I76" s="28" t="s">
        <v>113</v>
      </c>
    </row>
    <row r="77" spans="1:9" x14ac:dyDescent="0.25">
      <c r="A77" t="s">
        <v>114</v>
      </c>
      <c r="B77">
        <v>1.7693581998816255E-3</v>
      </c>
      <c r="C77">
        <v>4.0871252962199119E-3</v>
      </c>
      <c r="D77">
        <v>0.43291019277487386</v>
      </c>
      <c r="E77">
        <v>0.66607169879868033</v>
      </c>
      <c r="F77">
        <v>-6.345724885609005E-3</v>
      </c>
      <c r="G77">
        <v>9.8844412853722561E-3</v>
      </c>
      <c r="H77">
        <v>-6.345724885609005E-3</v>
      </c>
      <c r="I77">
        <v>9.8844412853722561E-3</v>
      </c>
    </row>
    <row r="78" spans="1:9" ht="15.75" thickBot="1" x14ac:dyDescent="0.3">
      <c r="A78" s="3" t="s">
        <v>92</v>
      </c>
      <c r="B78" s="3">
        <v>0.54607031245808779</v>
      </c>
      <c r="C78" s="3">
        <v>8.7025341668710107E-2</v>
      </c>
      <c r="D78" s="3">
        <v>6.2748424997500116</v>
      </c>
      <c r="E78" s="3">
        <v>1.0657602418003254E-8</v>
      </c>
      <c r="F78" s="3">
        <v>0.37327945653841316</v>
      </c>
      <c r="G78" s="3">
        <v>0.71886116837776237</v>
      </c>
      <c r="H78" s="3">
        <v>0.37327945653841316</v>
      </c>
      <c r="I78" s="3">
        <v>0.71886116837776237</v>
      </c>
    </row>
    <row r="81" spans="1:9" x14ac:dyDescent="0.25">
      <c r="A81" s="41" t="s">
        <v>88</v>
      </c>
    </row>
    <row r="82" spans="1:9" ht="15.75" thickBot="1" x14ac:dyDescent="0.3"/>
    <row r="83" spans="1:9" x14ac:dyDescent="0.25">
      <c r="A83" s="34" t="s">
        <v>93</v>
      </c>
      <c r="B83" s="34"/>
    </row>
    <row r="84" spans="1:9" x14ac:dyDescent="0.25">
      <c r="A84" t="s">
        <v>94</v>
      </c>
      <c r="B84">
        <v>0.36124746749573772</v>
      </c>
    </row>
    <row r="85" spans="1:9" x14ac:dyDescent="0.25">
      <c r="A85" t="s">
        <v>95</v>
      </c>
      <c r="B85">
        <v>0.13049973277208407</v>
      </c>
    </row>
    <row r="86" spans="1:9" x14ac:dyDescent="0.25">
      <c r="A86" t="s">
        <v>96</v>
      </c>
      <c r="B86">
        <v>0.1212497299292339</v>
      </c>
    </row>
    <row r="87" spans="1:9" x14ac:dyDescent="0.25">
      <c r="A87" t="s">
        <v>97</v>
      </c>
      <c r="B87">
        <v>4.8017357214174425E-2</v>
      </c>
    </row>
    <row r="88" spans="1:9" ht="15.75" thickBot="1" x14ac:dyDescent="0.3">
      <c r="A88" s="3" t="s">
        <v>98</v>
      </c>
      <c r="B88" s="3">
        <v>96</v>
      </c>
    </row>
    <row r="90" spans="1:9" ht="15.75" thickBot="1" x14ac:dyDescent="0.3">
      <c r="A90" t="s">
        <v>99</v>
      </c>
    </row>
    <row r="91" spans="1:9" x14ac:dyDescent="0.25">
      <c r="A91" s="28"/>
      <c r="B91" s="28" t="s">
        <v>100</v>
      </c>
      <c r="C91" s="28" t="s">
        <v>101</v>
      </c>
      <c r="D91" s="28" t="s">
        <v>102</v>
      </c>
      <c r="E91" s="28" t="s">
        <v>103</v>
      </c>
      <c r="F91" s="28" t="s">
        <v>104</v>
      </c>
    </row>
    <row r="92" spans="1:9" x14ac:dyDescent="0.25">
      <c r="A92" t="s">
        <v>105</v>
      </c>
      <c r="B92">
        <v>1</v>
      </c>
      <c r="C92">
        <v>3.2528516960336207E-2</v>
      </c>
      <c r="D92">
        <v>3.2528516960336207E-2</v>
      </c>
      <c r="E92">
        <v>14.108074882696325</v>
      </c>
      <c r="F92">
        <v>2.9914707625845754E-4</v>
      </c>
    </row>
    <row r="93" spans="1:9" x14ac:dyDescent="0.25">
      <c r="A93" t="s">
        <v>106</v>
      </c>
      <c r="B93">
        <v>94</v>
      </c>
      <c r="C93">
        <v>0.21673265982036111</v>
      </c>
      <c r="D93">
        <v>2.3056665938336286E-3</v>
      </c>
    </row>
    <row r="94" spans="1:9" ht="15.75" thickBot="1" x14ac:dyDescent="0.3">
      <c r="A94" s="3" t="s">
        <v>41</v>
      </c>
      <c r="B94" s="3">
        <v>95</v>
      </c>
      <c r="C94" s="3">
        <v>0.24926117678069731</v>
      </c>
      <c r="D94" s="3"/>
      <c r="E94" s="3"/>
      <c r="F94" s="3"/>
    </row>
    <row r="95" spans="1:9" ht="15.75" thickBot="1" x14ac:dyDescent="0.3"/>
    <row r="96" spans="1:9" x14ac:dyDescent="0.25">
      <c r="A96" s="28"/>
      <c r="B96" s="28" t="s">
        <v>107</v>
      </c>
      <c r="C96" s="28" t="s">
        <v>97</v>
      </c>
      <c r="D96" s="28" t="s">
        <v>108</v>
      </c>
      <c r="E96" s="28" t="s">
        <v>109</v>
      </c>
      <c r="F96" s="28" t="s">
        <v>110</v>
      </c>
      <c r="G96" s="28" t="s">
        <v>111</v>
      </c>
      <c r="H96" s="28" t="s">
        <v>112</v>
      </c>
      <c r="I96" s="28" t="s">
        <v>113</v>
      </c>
    </row>
    <row r="97" spans="1:9" x14ac:dyDescent="0.25">
      <c r="A97" t="s">
        <v>114</v>
      </c>
      <c r="B97">
        <v>-1.4066212981047083E-3</v>
      </c>
      <c r="C97">
        <v>4.9874948408115804E-3</v>
      </c>
      <c r="D97">
        <v>-0.28202962469146503</v>
      </c>
      <c r="E97">
        <v>0.77854079628913642</v>
      </c>
      <c r="F97">
        <v>-1.1309409220724856E-2</v>
      </c>
      <c r="G97">
        <v>8.4961666245154405E-3</v>
      </c>
      <c r="H97">
        <v>-1.1309409220724856E-2</v>
      </c>
      <c r="I97">
        <v>8.4961666245154405E-3</v>
      </c>
    </row>
    <row r="98" spans="1:9" ht="15.75" thickBot="1" x14ac:dyDescent="0.3">
      <c r="A98" s="3" t="s">
        <v>92</v>
      </c>
      <c r="B98" s="3">
        <v>0.39888170981143023</v>
      </c>
      <c r="C98" s="3">
        <v>0.10619651004924877</v>
      </c>
      <c r="D98" s="3">
        <v>3.7560717355631397</v>
      </c>
      <c r="E98" s="3">
        <v>2.9914707625845955E-4</v>
      </c>
      <c r="F98" s="3">
        <v>0.18802604966422423</v>
      </c>
      <c r="G98" s="3">
        <v>0.60973736995863625</v>
      </c>
      <c r="H98" s="3">
        <v>0.18802604966422423</v>
      </c>
      <c r="I98" s="3">
        <v>0.60973736995863625</v>
      </c>
    </row>
    <row r="101" spans="1:9" x14ac:dyDescent="0.25">
      <c r="A101" s="41" t="s">
        <v>89</v>
      </c>
    </row>
    <row r="102" spans="1:9" ht="15.75" thickBot="1" x14ac:dyDescent="0.3"/>
    <row r="103" spans="1:9" x14ac:dyDescent="0.25">
      <c r="A103" s="34" t="s">
        <v>93</v>
      </c>
      <c r="B103" s="34"/>
    </row>
    <row r="104" spans="1:9" x14ac:dyDescent="0.25">
      <c r="A104" t="s">
        <v>94</v>
      </c>
      <c r="B104">
        <v>0.43131013461275491</v>
      </c>
    </row>
    <row r="105" spans="1:9" x14ac:dyDescent="0.25">
      <c r="A105" t="s">
        <v>95</v>
      </c>
      <c r="B105">
        <v>0.18602843221967275</v>
      </c>
    </row>
    <row r="106" spans="1:9" x14ac:dyDescent="0.25">
      <c r="A106" t="s">
        <v>96</v>
      </c>
      <c r="B106">
        <v>0.17736916022200969</v>
      </c>
    </row>
    <row r="107" spans="1:9" x14ac:dyDescent="0.25">
      <c r="A107" t="s">
        <v>97</v>
      </c>
      <c r="B107">
        <v>4.7099281683277289E-2</v>
      </c>
    </row>
    <row r="108" spans="1:9" ht="15.75" thickBot="1" x14ac:dyDescent="0.3">
      <c r="A108" s="3" t="s">
        <v>98</v>
      </c>
      <c r="B108" s="3">
        <v>96</v>
      </c>
    </row>
    <row r="110" spans="1:9" ht="15.75" thickBot="1" x14ac:dyDescent="0.3">
      <c r="A110" t="s">
        <v>99</v>
      </c>
    </row>
    <row r="111" spans="1:9" x14ac:dyDescent="0.25">
      <c r="A111" s="28"/>
      <c r="B111" s="28" t="s">
        <v>100</v>
      </c>
      <c r="C111" s="28" t="s">
        <v>101</v>
      </c>
      <c r="D111" s="28" t="s">
        <v>102</v>
      </c>
      <c r="E111" s="28" t="s">
        <v>103</v>
      </c>
      <c r="F111" s="28" t="s">
        <v>104</v>
      </c>
    </row>
    <row r="112" spans="1:9" x14ac:dyDescent="0.25">
      <c r="A112" t="s">
        <v>105</v>
      </c>
      <c r="B112">
        <v>1</v>
      </c>
      <c r="C112">
        <v>4.7656979343409261E-2</v>
      </c>
      <c r="D112">
        <v>4.7656979343409261E-2</v>
      </c>
      <c r="E112">
        <v>21.483149191973375</v>
      </c>
      <c r="F112">
        <v>1.1484290564770084E-5</v>
      </c>
    </row>
    <row r="113" spans="1:9" x14ac:dyDescent="0.25">
      <c r="A113" t="s">
        <v>106</v>
      </c>
      <c r="B113">
        <v>94</v>
      </c>
      <c r="C113">
        <v>0.20852417949758575</v>
      </c>
      <c r="D113">
        <v>2.2183423350806996E-3</v>
      </c>
    </row>
    <row r="114" spans="1:9" ht="15.75" thickBot="1" x14ac:dyDescent="0.3">
      <c r="A114" s="3" t="s">
        <v>41</v>
      </c>
      <c r="B114" s="3">
        <v>95</v>
      </c>
      <c r="C114" s="3">
        <v>0.25618115884099502</v>
      </c>
      <c r="D114" s="3"/>
      <c r="E114" s="3"/>
      <c r="F114" s="3"/>
    </row>
    <row r="115" spans="1:9" ht="15.75" thickBot="1" x14ac:dyDescent="0.3"/>
    <row r="116" spans="1:9" x14ac:dyDescent="0.25">
      <c r="A116" s="28"/>
      <c r="B116" s="28" t="s">
        <v>107</v>
      </c>
      <c r="C116" s="28" t="s">
        <v>97</v>
      </c>
      <c r="D116" s="28" t="s">
        <v>108</v>
      </c>
      <c r="E116" s="28" t="s">
        <v>109</v>
      </c>
      <c r="F116" s="28" t="s">
        <v>110</v>
      </c>
      <c r="G116" s="28" t="s">
        <v>111</v>
      </c>
      <c r="H116" s="28" t="s">
        <v>112</v>
      </c>
      <c r="I116" s="28" t="s">
        <v>113</v>
      </c>
    </row>
    <row r="117" spans="1:9" x14ac:dyDescent="0.25">
      <c r="A117" t="s">
        <v>114</v>
      </c>
      <c r="B117">
        <v>7.4872101239304252E-3</v>
      </c>
      <c r="C117">
        <v>4.8921356365679708E-3</v>
      </c>
      <c r="D117">
        <v>1.530458409199587</v>
      </c>
      <c r="E117">
        <v>0.12926179609079289</v>
      </c>
      <c r="F117">
        <v>-2.2262398632662906E-3</v>
      </c>
      <c r="G117">
        <v>1.7200660111127142E-2</v>
      </c>
      <c r="H117">
        <v>-2.2262398632662906E-3</v>
      </c>
      <c r="I117">
        <v>1.7200660111127142E-2</v>
      </c>
    </row>
    <row r="118" spans="1:9" ht="15.75" thickBot="1" x14ac:dyDescent="0.3">
      <c r="A118" s="3" t="s">
        <v>92</v>
      </c>
      <c r="B118" s="3">
        <v>0.48280887756361807</v>
      </c>
      <c r="C118" s="3">
        <v>0.10416606891297342</v>
      </c>
      <c r="D118" s="3">
        <v>4.6349918222121405</v>
      </c>
      <c r="E118" s="3">
        <v>1.1484290564769914E-5</v>
      </c>
      <c r="F118" s="3">
        <v>0.27598470588981705</v>
      </c>
      <c r="G118" s="3">
        <v>0.68963304923741908</v>
      </c>
      <c r="H118" s="3">
        <v>0.27598470588981705</v>
      </c>
      <c r="I118" s="3">
        <v>0.68963304923741908</v>
      </c>
    </row>
    <row r="121" spans="1:9" x14ac:dyDescent="0.25">
      <c r="A121" s="41" t="s">
        <v>90</v>
      </c>
    </row>
    <row r="122" spans="1:9" ht="15.75" thickBot="1" x14ac:dyDescent="0.3"/>
    <row r="123" spans="1:9" x14ac:dyDescent="0.25">
      <c r="A123" s="34" t="s">
        <v>93</v>
      </c>
      <c r="B123" s="34"/>
    </row>
    <row r="124" spans="1:9" x14ac:dyDescent="0.25">
      <c r="A124" t="s">
        <v>94</v>
      </c>
      <c r="B124">
        <v>0.73839742397658159</v>
      </c>
    </row>
    <row r="125" spans="1:9" x14ac:dyDescent="0.25">
      <c r="A125" t="s">
        <v>95</v>
      </c>
      <c r="B125">
        <v>0.54523075573525159</v>
      </c>
    </row>
    <row r="126" spans="1:9" x14ac:dyDescent="0.25">
      <c r="A126" t="s">
        <v>96</v>
      </c>
      <c r="B126">
        <v>0.54039278505158406</v>
      </c>
    </row>
    <row r="127" spans="1:9" x14ac:dyDescent="0.25">
      <c r="A127" t="s">
        <v>97</v>
      </c>
      <c r="B127">
        <v>6.1744301990344821E-2</v>
      </c>
    </row>
    <row r="128" spans="1:9" ht="15.75" thickBot="1" x14ac:dyDescent="0.3">
      <c r="A128" s="3" t="s">
        <v>98</v>
      </c>
      <c r="B128" s="3">
        <v>96</v>
      </c>
    </row>
    <row r="130" spans="1:9" ht="15.75" thickBot="1" x14ac:dyDescent="0.3">
      <c r="A130" t="s">
        <v>99</v>
      </c>
    </row>
    <row r="131" spans="1:9" x14ac:dyDescent="0.25">
      <c r="A131" s="28"/>
      <c r="B131" s="28" t="s">
        <v>100</v>
      </c>
      <c r="C131" s="28" t="s">
        <v>101</v>
      </c>
      <c r="D131" s="28" t="s">
        <v>102</v>
      </c>
      <c r="E131" s="28" t="s">
        <v>103</v>
      </c>
      <c r="F131" s="28" t="s">
        <v>104</v>
      </c>
    </row>
    <row r="132" spans="1:9" x14ac:dyDescent="0.25">
      <c r="A132" t="s">
        <v>105</v>
      </c>
      <c r="B132">
        <v>1</v>
      </c>
      <c r="C132">
        <v>0.4296461101121305</v>
      </c>
      <c r="D132">
        <v>0.4296461101121305</v>
      </c>
      <c r="E132">
        <v>112.69823473215565</v>
      </c>
      <c r="F132">
        <v>9.0868951976672219E-18</v>
      </c>
    </row>
    <row r="133" spans="1:9" x14ac:dyDescent="0.25">
      <c r="A133" t="s">
        <v>106</v>
      </c>
      <c r="B133">
        <v>94</v>
      </c>
      <c r="C133">
        <v>0.35836172985784054</v>
      </c>
      <c r="D133">
        <v>3.8123588282748993E-3</v>
      </c>
    </row>
    <row r="134" spans="1:9" ht="15.75" thickBot="1" x14ac:dyDescent="0.3">
      <c r="A134" s="3" t="s">
        <v>41</v>
      </c>
      <c r="B134" s="3">
        <v>95</v>
      </c>
      <c r="C134" s="3">
        <v>0.78800783996997104</v>
      </c>
      <c r="D134" s="3"/>
      <c r="E134" s="3"/>
      <c r="F134" s="3"/>
    </row>
    <row r="135" spans="1:9" ht="15.75" thickBot="1" x14ac:dyDescent="0.3"/>
    <row r="136" spans="1:9" x14ac:dyDescent="0.25">
      <c r="A136" s="28"/>
      <c r="B136" s="28" t="s">
        <v>107</v>
      </c>
      <c r="C136" s="28" t="s">
        <v>97</v>
      </c>
      <c r="D136" s="28" t="s">
        <v>108</v>
      </c>
      <c r="E136" s="28" t="s">
        <v>109</v>
      </c>
      <c r="F136" s="28" t="s">
        <v>110</v>
      </c>
      <c r="G136" s="28" t="s">
        <v>111</v>
      </c>
      <c r="H136" s="28" t="s">
        <v>112</v>
      </c>
      <c r="I136" s="28" t="s">
        <v>113</v>
      </c>
    </row>
    <row r="137" spans="1:9" x14ac:dyDescent="0.25">
      <c r="A137" t="s">
        <v>114</v>
      </c>
      <c r="B137">
        <v>-6.4202509545472318E-4</v>
      </c>
      <c r="C137">
        <v>6.41329314007836E-3</v>
      </c>
      <c r="D137">
        <v>-0.10010849051052088</v>
      </c>
      <c r="E137">
        <v>0.92047139522660637</v>
      </c>
      <c r="F137">
        <v>-1.3375768964642602E-2</v>
      </c>
      <c r="G137">
        <v>1.2091718773733155E-2</v>
      </c>
      <c r="H137">
        <v>-1.3375768964642602E-2</v>
      </c>
      <c r="I137">
        <v>1.2091718773733155E-2</v>
      </c>
    </row>
    <row r="138" spans="1:9" ht="15.75" thickBot="1" x14ac:dyDescent="0.3">
      <c r="A138" s="3" t="s">
        <v>92</v>
      </c>
      <c r="B138" s="3">
        <v>1.4496642640589754</v>
      </c>
      <c r="C138" s="3">
        <v>0.13655539928103144</v>
      </c>
      <c r="D138" s="3">
        <v>10.615942479693254</v>
      </c>
      <c r="E138" s="3">
        <v>9.086895197667091E-18</v>
      </c>
      <c r="F138" s="3">
        <v>1.1785303176730333</v>
      </c>
      <c r="G138" s="3">
        <v>1.7207982104449175</v>
      </c>
      <c r="H138" s="3">
        <v>1.1785303176730333</v>
      </c>
      <c r="I138" s="3">
        <v>1.7207982104449175</v>
      </c>
    </row>
    <row r="141" spans="1:9" x14ac:dyDescent="0.25">
      <c r="A141" s="41" t="s">
        <v>91</v>
      </c>
    </row>
    <row r="142" spans="1:9" ht="15.75" thickBot="1" x14ac:dyDescent="0.3"/>
    <row r="143" spans="1:9" x14ac:dyDescent="0.25">
      <c r="A143" s="34" t="s">
        <v>93</v>
      </c>
      <c r="B143" s="34"/>
    </row>
    <row r="144" spans="1:9" x14ac:dyDescent="0.25">
      <c r="A144" t="s">
        <v>94</v>
      </c>
      <c r="B144">
        <v>0.50069859116255377</v>
      </c>
    </row>
    <row r="145" spans="1:9" x14ac:dyDescent="0.25">
      <c r="A145" t="s">
        <v>95</v>
      </c>
      <c r="B145">
        <v>0.25069907919216622</v>
      </c>
    </row>
    <row r="146" spans="1:9" x14ac:dyDescent="0.25">
      <c r="A146" t="s">
        <v>96</v>
      </c>
      <c r="B146">
        <v>0.24272779280059353</v>
      </c>
    </row>
    <row r="147" spans="1:9" x14ac:dyDescent="0.25">
      <c r="A147" t="s">
        <v>97</v>
      </c>
      <c r="B147">
        <v>0.10495369041415746</v>
      </c>
    </row>
    <row r="148" spans="1:9" ht="15.75" thickBot="1" x14ac:dyDescent="0.3">
      <c r="A148" s="3" t="s">
        <v>98</v>
      </c>
      <c r="B148" s="3">
        <v>96</v>
      </c>
    </row>
    <row r="150" spans="1:9" ht="15.75" thickBot="1" x14ac:dyDescent="0.3">
      <c r="A150" t="s">
        <v>99</v>
      </c>
    </row>
    <row r="151" spans="1:9" x14ac:dyDescent="0.25">
      <c r="A151" s="28"/>
      <c r="B151" s="28" t="s">
        <v>100</v>
      </c>
      <c r="C151" s="28" t="s">
        <v>101</v>
      </c>
      <c r="D151" s="28" t="s">
        <v>102</v>
      </c>
      <c r="E151" s="28" t="s">
        <v>103</v>
      </c>
      <c r="F151" s="28" t="s">
        <v>104</v>
      </c>
    </row>
    <row r="152" spans="1:9" x14ac:dyDescent="0.25">
      <c r="A152" t="s">
        <v>105</v>
      </c>
      <c r="B152">
        <v>1</v>
      </c>
      <c r="C152">
        <v>0.34643339835911702</v>
      </c>
      <c r="D152">
        <v>0.34643339835911702</v>
      </c>
      <c r="E152">
        <v>31.450266227695323</v>
      </c>
      <c r="F152">
        <v>2.0458276319148515E-7</v>
      </c>
    </row>
    <row r="153" spans="1:9" x14ac:dyDescent="0.25">
      <c r="A153" t="s">
        <v>106</v>
      </c>
      <c r="B153">
        <v>94</v>
      </c>
      <c r="C153">
        <v>1.035436050365776</v>
      </c>
      <c r="D153">
        <v>1.1015277131550809E-2</v>
      </c>
    </row>
    <row r="154" spans="1:9" ht="15.75" thickBot="1" x14ac:dyDescent="0.3">
      <c r="A154" s="3" t="s">
        <v>41</v>
      </c>
      <c r="B154" s="3">
        <v>95</v>
      </c>
      <c r="C154" s="3">
        <v>1.381869448724893</v>
      </c>
      <c r="D154" s="3"/>
      <c r="E154" s="3"/>
      <c r="F154" s="3"/>
    </row>
    <row r="155" spans="1:9" ht="15.75" thickBot="1" x14ac:dyDescent="0.3"/>
    <row r="156" spans="1:9" x14ac:dyDescent="0.25">
      <c r="A156" s="28"/>
      <c r="B156" s="28" t="s">
        <v>107</v>
      </c>
      <c r="C156" s="28" t="s">
        <v>97</v>
      </c>
      <c r="D156" s="28" t="s">
        <v>108</v>
      </c>
      <c r="E156" s="28" t="s">
        <v>109</v>
      </c>
      <c r="F156" s="28" t="s">
        <v>110</v>
      </c>
      <c r="G156" s="28" t="s">
        <v>111</v>
      </c>
      <c r="H156" s="28" t="s">
        <v>112</v>
      </c>
      <c r="I156" s="28" t="s">
        <v>113</v>
      </c>
    </row>
    <row r="157" spans="1:9" x14ac:dyDescent="0.25">
      <c r="A157" t="s">
        <v>114</v>
      </c>
      <c r="B157">
        <v>1.0326954060915345E-2</v>
      </c>
      <c r="C157">
        <v>1.0901391076771407E-2</v>
      </c>
      <c r="D157">
        <v>0.94730608123214044</v>
      </c>
      <c r="E157">
        <v>0.34591177891056613</v>
      </c>
      <c r="F157">
        <v>-1.1318013470969723E-2</v>
      </c>
      <c r="G157">
        <v>3.1971921592800413E-2</v>
      </c>
      <c r="H157">
        <v>-1.1318013470969723E-2</v>
      </c>
      <c r="I157">
        <v>3.1971921592800413E-2</v>
      </c>
    </row>
    <row r="158" spans="1:9" ht="15.75" thickBot="1" x14ac:dyDescent="0.3">
      <c r="A158" s="3" t="s">
        <v>92</v>
      </c>
      <c r="B158" s="3">
        <v>1.3017328603581499</v>
      </c>
      <c r="C158" s="3">
        <v>0.23211847309836267</v>
      </c>
      <c r="D158" s="3">
        <v>5.6080536933677259</v>
      </c>
      <c r="E158" s="3">
        <v>2.0458276319147875E-7</v>
      </c>
      <c r="F158" s="3">
        <v>0.84085619073106765</v>
      </c>
      <c r="G158" s="3">
        <v>1.7626095299852322</v>
      </c>
      <c r="H158" s="3">
        <v>0.84085619073106765</v>
      </c>
      <c r="I158" s="3">
        <v>1.7626095299852322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8"/>
  <sheetViews>
    <sheetView topLeftCell="A9" workbookViewId="0">
      <selection activeCell="E8" sqref="E8"/>
    </sheetView>
  </sheetViews>
  <sheetFormatPr defaultColWidth="8.7109375" defaultRowHeight="15" x14ac:dyDescent="0.25"/>
  <cols>
    <col min="1" max="1" width="20.7109375" bestFit="1" customWidth="1"/>
    <col min="2" max="2" width="18.7109375" customWidth="1"/>
    <col min="3" max="3" width="17.140625" customWidth="1"/>
    <col min="4" max="4" width="17.28515625" customWidth="1"/>
    <col min="5" max="5" width="20.140625" customWidth="1"/>
    <col min="6" max="6" width="28.28515625" customWidth="1"/>
    <col min="7" max="7" width="13.85546875" customWidth="1"/>
    <col min="8" max="8" width="22" customWidth="1"/>
    <col min="9" max="9" width="9.28515625" customWidth="1"/>
    <col min="10" max="10" width="9.5703125" customWidth="1"/>
  </cols>
  <sheetData>
    <row r="1" spans="1:10" x14ac:dyDescent="0.25">
      <c r="A1" s="84"/>
      <c r="B1" s="80" t="s">
        <v>84</v>
      </c>
      <c r="C1" s="80" t="s">
        <v>85</v>
      </c>
      <c r="D1" s="80" t="s">
        <v>86</v>
      </c>
      <c r="E1" s="80" t="s">
        <v>87</v>
      </c>
      <c r="F1" s="80" t="s">
        <v>88</v>
      </c>
      <c r="G1" s="80" t="s">
        <v>89</v>
      </c>
      <c r="H1" s="80" t="s">
        <v>90</v>
      </c>
      <c r="I1" s="80" t="s">
        <v>91</v>
      </c>
      <c r="J1" s="80" t="s">
        <v>10</v>
      </c>
    </row>
    <row r="2" spans="1:10" ht="15.75" thickBot="1" x14ac:dyDescent="0.3">
      <c r="A2" s="84"/>
      <c r="B2" s="81"/>
      <c r="C2" s="81"/>
      <c r="D2" s="81"/>
      <c r="E2" s="81"/>
      <c r="F2" s="81"/>
      <c r="G2" s="81"/>
      <c r="H2" s="81"/>
      <c r="I2" s="81"/>
      <c r="J2" s="80"/>
    </row>
    <row r="3" spans="1:10" x14ac:dyDescent="0.25">
      <c r="A3" s="42" t="s">
        <v>115</v>
      </c>
      <c r="B3">
        <f>Sim_Regressions!B17</f>
        <v>3.4746323967726502E-4</v>
      </c>
      <c r="C3">
        <f>Sim_Regressions!B37</f>
        <v>-8.987137826110627E-3</v>
      </c>
      <c r="D3">
        <f>Sim_Regressions!B57</f>
        <v>3.9708905850627148E-3</v>
      </c>
      <c r="E3">
        <f>Sim_Regressions!B77</f>
        <v>1.7693581998816255E-3</v>
      </c>
      <c r="F3">
        <f>Sim_Regressions!B97</f>
        <v>-1.4066212981047083E-3</v>
      </c>
      <c r="G3">
        <f>Sim_Regressions!B117</f>
        <v>7.4872101239304252E-3</v>
      </c>
      <c r="H3">
        <f>Sim_Regressions!B137</f>
        <v>-6.4202509545472318E-4</v>
      </c>
      <c r="I3">
        <f>Sim_Regressions!B157</f>
        <v>1.0326954060915345E-2</v>
      </c>
      <c r="J3">
        <v>0</v>
      </c>
    </row>
    <row r="4" spans="1:10" x14ac:dyDescent="0.25">
      <c r="A4" s="42" t="s">
        <v>116</v>
      </c>
      <c r="B4">
        <f>Sim_Regressions!B18</f>
        <v>0.96828098585262801</v>
      </c>
      <c r="C4">
        <f>Sim_Regressions!B38</f>
        <v>1.2116134391681874</v>
      </c>
      <c r="D4">
        <f>Sim_Regressions!B58</f>
        <v>1.0267595196546964</v>
      </c>
      <c r="E4">
        <f>Sim_Regressions!B78</f>
        <v>0.54607031245808779</v>
      </c>
      <c r="F4">
        <f>Sim_Regressions!B98</f>
        <v>0.39888170981143023</v>
      </c>
      <c r="G4">
        <f>Sim_Regressions!B118</f>
        <v>0.48280887756361807</v>
      </c>
      <c r="H4">
        <f>Sim_Regressions!B138</f>
        <v>1.4496642640589754</v>
      </c>
      <c r="I4">
        <f>Sim_Regressions!B158</f>
        <v>1.3017328603581499</v>
      </c>
      <c r="J4">
        <v>1</v>
      </c>
    </row>
    <row r="5" spans="1:10" x14ac:dyDescent="0.25">
      <c r="A5" s="42" t="s">
        <v>117</v>
      </c>
      <c r="B5">
        <f>Sim_Regressions!B7</f>
        <v>7.2282483909883996E-2</v>
      </c>
      <c r="C5">
        <f>Sim_Regressions!B27</f>
        <v>9.1312552964151555E-2</v>
      </c>
      <c r="D5">
        <f>Sim_Regressions!B47</f>
        <v>4.4252581771783178E-2</v>
      </c>
      <c r="E5">
        <f>Sim_Regressions!B67</f>
        <v>3.934900417776574E-2</v>
      </c>
      <c r="F5">
        <f>Sim_Regressions!B87</f>
        <v>4.8017357214174425E-2</v>
      </c>
      <c r="G5">
        <f>Sim_Regressions!B107</f>
        <v>4.7099281683277289E-2</v>
      </c>
      <c r="H5">
        <f>Sim_Regressions!B127</f>
        <v>6.1744301990344821E-2</v>
      </c>
      <c r="I5">
        <f>Sim_Regressions!B147</f>
        <v>0.10495369041415746</v>
      </c>
      <c r="J5">
        <v>0</v>
      </c>
    </row>
    <row r="6" spans="1:10" x14ac:dyDescent="0.25">
      <c r="A6" s="42" t="s">
        <v>45</v>
      </c>
      <c r="B6" s="16"/>
      <c r="C6" s="16"/>
      <c r="D6" s="16"/>
      <c r="E6" s="16"/>
      <c r="F6" s="16"/>
      <c r="G6" s="16"/>
      <c r="H6" s="16"/>
      <c r="I6" s="16"/>
      <c r="J6">
        <f>_xlfn.STDEV.S('SIM-Data'!J5:J100)</f>
        <v>4.6390195876715973E-2</v>
      </c>
    </row>
    <row r="7" spans="1:10" x14ac:dyDescent="0.25">
      <c r="A7" s="42" t="s">
        <v>118</v>
      </c>
      <c r="B7" s="16"/>
      <c r="C7" s="16"/>
      <c r="D7" s="16"/>
      <c r="E7" s="16"/>
      <c r="F7" s="16"/>
      <c r="G7" s="16"/>
      <c r="H7" s="16"/>
      <c r="I7" s="16"/>
      <c r="J7">
        <f>AVERAGE('SIM-Data'!J5:J100)</f>
        <v>8.7210486612499995E-3</v>
      </c>
    </row>
    <row r="8" spans="1:10" x14ac:dyDescent="0.25">
      <c r="A8" s="17"/>
    </row>
    <row r="9" spans="1:10" x14ac:dyDescent="0.25">
      <c r="A9" s="17"/>
    </row>
    <row r="12" spans="1:10" x14ac:dyDescent="0.25">
      <c r="A12" s="84"/>
      <c r="B12" s="50"/>
      <c r="C12" s="50"/>
      <c r="D12" s="50"/>
      <c r="E12" s="50"/>
      <c r="F12" s="50"/>
      <c r="G12" s="50"/>
      <c r="H12" s="50"/>
      <c r="I12" s="50"/>
      <c r="J12" s="50"/>
    </row>
    <row r="13" spans="1:10" x14ac:dyDescent="0.25">
      <c r="A13" s="84"/>
      <c r="B13" s="72" t="s">
        <v>64</v>
      </c>
      <c r="C13" s="73" t="s">
        <v>65</v>
      </c>
      <c r="D13" s="73" t="s">
        <v>66</v>
      </c>
      <c r="E13" s="73" t="s">
        <v>67</v>
      </c>
      <c r="F13" s="73" t="s">
        <v>68</v>
      </c>
      <c r="G13" s="73" t="s">
        <v>69</v>
      </c>
      <c r="H13" s="73" t="s">
        <v>70</v>
      </c>
      <c r="I13" s="74" t="s">
        <v>71</v>
      </c>
      <c r="J13" s="50" t="s">
        <v>10</v>
      </c>
    </row>
    <row r="14" spans="1:10" x14ac:dyDescent="0.25">
      <c r="A14" s="42" t="s">
        <v>115</v>
      </c>
      <c r="B14">
        <f>Sim_Regressions!B17</f>
        <v>3.4746323967726502E-4</v>
      </c>
      <c r="C14">
        <f>Sim_Regressions!B37</f>
        <v>-8.987137826110627E-3</v>
      </c>
      <c r="D14">
        <f>Sim_Regressions!B57</f>
        <v>3.9708905850627148E-3</v>
      </c>
      <c r="E14">
        <f>Sim_Regressions!B77</f>
        <v>1.7693581998816255E-3</v>
      </c>
      <c r="F14">
        <f>Sim_Regressions!B97</f>
        <v>-1.4066212981047083E-3</v>
      </c>
      <c r="G14">
        <f>Sim_Regressions!B117</f>
        <v>7.4872101239304252E-3</v>
      </c>
      <c r="H14">
        <f>Sim_Regressions!B137</f>
        <v>-6.4202509545472318E-4</v>
      </c>
      <c r="I14">
        <f>Sim_Regressions!B157</f>
        <v>1.0326954060915345E-2</v>
      </c>
      <c r="J14">
        <v>0</v>
      </c>
    </row>
    <row r="15" spans="1:10" x14ac:dyDescent="0.25">
      <c r="A15" s="42" t="s">
        <v>116</v>
      </c>
      <c r="B15">
        <f>Sim_Regressions!B18</f>
        <v>0.96828098585262801</v>
      </c>
      <c r="C15">
        <f>Sim_Regressions!B38</f>
        <v>1.2116134391681874</v>
      </c>
      <c r="D15">
        <f>Sim_Regressions!B58</f>
        <v>1.0267595196546964</v>
      </c>
      <c r="E15">
        <f>Sim_Regressions!B78</f>
        <v>0.54607031245808779</v>
      </c>
      <c r="F15">
        <f>Sim_Regressions!B98</f>
        <v>0.39888170981143023</v>
      </c>
      <c r="G15">
        <f>Sim_Regressions!B118</f>
        <v>0.48280887756361807</v>
      </c>
      <c r="H15">
        <f>Sim_Regressions!B138</f>
        <v>1.4496642640589754</v>
      </c>
      <c r="I15">
        <f>Sim_Regressions!B158</f>
        <v>1.3017328603581499</v>
      </c>
      <c r="J15">
        <v>1</v>
      </c>
    </row>
    <row r="16" spans="1:10" x14ac:dyDescent="0.25">
      <c r="A16" s="42" t="s">
        <v>117</v>
      </c>
      <c r="B16">
        <f>Sim_Regressions!B7</f>
        <v>7.2282483909883996E-2</v>
      </c>
      <c r="C16">
        <f>Sim_Regressions!B27</f>
        <v>9.1312552964151555E-2</v>
      </c>
      <c r="D16">
        <f>Sim_Regressions!B47</f>
        <v>4.4252581771783178E-2</v>
      </c>
      <c r="E16">
        <f>Sim_Regressions!B67</f>
        <v>3.934900417776574E-2</v>
      </c>
      <c r="F16">
        <f>Sim_Regressions!B87</f>
        <v>4.8017357214174425E-2</v>
      </c>
      <c r="G16">
        <f>Sim_Regressions!B107</f>
        <v>4.7099281683277289E-2</v>
      </c>
      <c r="H16">
        <f>Sim_Regressions!B127</f>
        <v>6.1744301990344821E-2</v>
      </c>
      <c r="I16">
        <f>Sim_Regressions!B147</f>
        <v>0.10495369041415746</v>
      </c>
      <c r="J16">
        <v>0</v>
      </c>
    </row>
    <row r="17" spans="1:10" x14ac:dyDescent="0.25">
      <c r="A17" s="42" t="s">
        <v>45</v>
      </c>
      <c r="B17" s="16"/>
      <c r="C17" s="16"/>
      <c r="D17" s="16"/>
      <c r="E17" s="16"/>
      <c r="F17" s="16"/>
      <c r="G17" s="16"/>
      <c r="H17" s="16"/>
      <c r="I17" s="16"/>
      <c r="J17">
        <f>_xlfn.STDEV.S('SIM-Data'!J16:J111)</f>
        <v>4.817592834114108E-2</v>
      </c>
    </row>
    <row r="18" spans="1:10" x14ac:dyDescent="0.25">
      <c r="A18" s="42" t="s">
        <v>118</v>
      </c>
      <c r="B18" s="16"/>
      <c r="C18" s="16"/>
      <c r="D18" s="16"/>
      <c r="E18" s="16"/>
      <c r="F18" s="16"/>
      <c r="G18" s="16"/>
      <c r="H18" s="16"/>
      <c r="I18" s="16"/>
      <c r="J18">
        <f>AVERAGE('SIM-Data'!J16:J111)</f>
        <v>8.9535687291764695E-3</v>
      </c>
    </row>
  </sheetData>
  <mergeCells count="11">
    <mergeCell ref="A12:A13"/>
    <mergeCell ref="D1:D2"/>
    <mergeCell ref="C1:C2"/>
    <mergeCell ref="B1:B2"/>
    <mergeCell ref="A1:A2"/>
    <mergeCell ref="E1:E2"/>
    <mergeCell ref="J1:J2"/>
    <mergeCell ref="I1:I2"/>
    <mergeCell ref="H1:H2"/>
    <mergeCell ref="G1:G2"/>
    <mergeCell ref="F1:F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7"/>
  <sheetViews>
    <sheetView zoomScale="80" zoomScaleNormal="80" workbookViewId="0">
      <selection activeCell="B20" sqref="B20"/>
    </sheetView>
  </sheetViews>
  <sheetFormatPr defaultColWidth="8.7109375" defaultRowHeight="16.5" customHeight="1" x14ac:dyDescent="0.25"/>
  <cols>
    <col min="1" max="1" width="30.140625" bestFit="1" customWidth="1"/>
    <col min="2" max="2" width="18.5703125" style="1" customWidth="1"/>
    <col min="3" max="3" width="17.140625" style="1" customWidth="1"/>
    <col min="4" max="4" width="17.5703125" style="1" customWidth="1"/>
    <col min="5" max="5" width="19.7109375" style="1" customWidth="1"/>
    <col min="6" max="6" width="28" style="1" customWidth="1"/>
    <col min="7" max="7" width="14.140625" style="1" customWidth="1"/>
    <col min="8" max="8" width="22.28515625" style="1" customWidth="1"/>
    <col min="9" max="9" width="9.28515625" style="1" customWidth="1"/>
    <col min="10" max="10" width="9.7109375" customWidth="1"/>
    <col min="11" max="11" width="11.5703125" bestFit="1" customWidth="1"/>
    <col min="12" max="12" width="13.42578125" bestFit="1" customWidth="1"/>
  </cols>
  <sheetData>
    <row r="1" spans="1:13" ht="16.5" customHeight="1" x14ac:dyDescent="0.25">
      <c r="A1" s="80"/>
      <c r="B1" s="80" t="s">
        <v>84</v>
      </c>
      <c r="C1" s="80" t="s">
        <v>85</v>
      </c>
      <c r="D1" s="80" t="s">
        <v>86</v>
      </c>
      <c r="E1" s="80" t="s">
        <v>87</v>
      </c>
      <c r="F1" s="80" t="s">
        <v>88</v>
      </c>
      <c r="G1" s="80" t="s">
        <v>89</v>
      </c>
      <c r="H1" s="80" t="s">
        <v>90</v>
      </c>
      <c r="I1" s="80" t="s">
        <v>91</v>
      </c>
      <c r="J1" s="80" t="s">
        <v>10</v>
      </c>
      <c r="K1" s="80" t="s">
        <v>41</v>
      </c>
      <c r="L1" s="80" t="s">
        <v>50</v>
      </c>
      <c r="M1" s="80">
        <f>COUNTA(B3:J3)</f>
        <v>9</v>
      </c>
    </row>
    <row r="2" spans="1:13" ht="16.5" customHeight="1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ht="16.5" customHeight="1" x14ac:dyDescent="0.25">
      <c r="A3" s="40" t="s">
        <v>115</v>
      </c>
      <c r="B3">
        <f>Sim_Regressions!B17</f>
        <v>3.4746323967726502E-4</v>
      </c>
      <c r="C3">
        <f>Sim_Regressions!B37</f>
        <v>-8.987137826110627E-3</v>
      </c>
      <c r="D3">
        <f>Sim_Regressions!B57</f>
        <v>3.9708905850627148E-3</v>
      </c>
      <c r="E3">
        <f>Sim_Regressions!B77</f>
        <v>1.7693581998816255E-3</v>
      </c>
      <c r="F3">
        <f>Sim_Regressions!B97</f>
        <v>-1.4066212981047083E-3</v>
      </c>
      <c r="G3">
        <f>Sim_Regressions!B117</f>
        <v>7.4872101239304252E-3</v>
      </c>
      <c r="H3">
        <f>Sim_Regressions!B137</f>
        <v>-6.4202509545472318E-4</v>
      </c>
      <c r="I3">
        <f>Sim_Regressions!B157</f>
        <v>1.0326954060915345E-2</v>
      </c>
      <c r="J3">
        <v>0</v>
      </c>
      <c r="L3" s="42" t="s">
        <v>119</v>
      </c>
      <c r="M3" s="42">
        <f>1/M1</f>
        <v>0.1111111111111111</v>
      </c>
    </row>
    <row r="4" spans="1:13" ht="16.5" customHeight="1" x14ac:dyDescent="0.25">
      <c r="A4" s="40" t="s">
        <v>116</v>
      </c>
      <c r="B4">
        <f>Sim_Regressions!B18</f>
        <v>0.96828098585262801</v>
      </c>
      <c r="C4">
        <f>Sim_Regressions!B38</f>
        <v>1.2116134391681874</v>
      </c>
      <c r="D4">
        <f>Sim_Regressions!B58</f>
        <v>1.0267595196546964</v>
      </c>
      <c r="E4">
        <f>Sim_Regressions!B78</f>
        <v>0.54607031245808779</v>
      </c>
      <c r="F4">
        <f>Sim_Regressions!B98</f>
        <v>0.39888170981143023</v>
      </c>
      <c r="G4">
        <f>Sim_Regressions!B118</f>
        <v>0.48280887756361807</v>
      </c>
      <c r="H4">
        <f>Sim_Regressions!B138</f>
        <v>1.4496642640589754</v>
      </c>
      <c r="I4">
        <f>Sim_Regressions!B158</f>
        <v>1.3017328603581499</v>
      </c>
      <c r="J4">
        <v>1</v>
      </c>
    </row>
    <row r="5" spans="1:13" ht="16.5" customHeight="1" x14ac:dyDescent="0.25">
      <c r="A5" s="46" t="s">
        <v>120</v>
      </c>
      <c r="B5" s="45">
        <f>Sim_Regressions!B7</f>
        <v>7.2282483909883996E-2</v>
      </c>
      <c r="C5" s="45">
        <f>Sim_Regressions!B27</f>
        <v>9.1312552964151555E-2</v>
      </c>
      <c r="D5" s="45">
        <f>Sim_Regressions!B47</f>
        <v>4.4252581771783178E-2</v>
      </c>
      <c r="E5" s="45">
        <f>Sim_Regressions!B67</f>
        <v>3.934900417776574E-2</v>
      </c>
      <c r="F5" s="45">
        <f>Sim_Regressions!B87</f>
        <v>4.8017357214174425E-2</v>
      </c>
      <c r="G5" s="45">
        <f>Sim_Regressions!B107</f>
        <v>4.7099281683277289E-2</v>
      </c>
      <c r="H5" s="45">
        <f>Sim_Regressions!B127</f>
        <v>6.1744301990344821E-2</v>
      </c>
      <c r="I5" s="45">
        <f>Sim_Regressions!B147</f>
        <v>0.10495369041415746</v>
      </c>
      <c r="J5" s="45">
        <v>0</v>
      </c>
      <c r="K5" s="45"/>
    </row>
    <row r="6" spans="1:13" ht="16.5" customHeight="1" x14ac:dyDescent="0.25">
      <c r="A6" s="40" t="s">
        <v>121</v>
      </c>
      <c r="B6"/>
      <c r="C6"/>
      <c r="D6"/>
      <c r="E6"/>
      <c r="F6"/>
      <c r="G6" s="47"/>
      <c r="H6"/>
      <c r="I6"/>
      <c r="J6">
        <f>_xlfn.VAR.S(Data!K2:K97)</f>
        <v>2.147766513120894E-3</v>
      </c>
    </row>
    <row r="7" spans="1:13" ht="16.5" customHeight="1" x14ac:dyDescent="0.25">
      <c r="A7" s="46" t="s">
        <v>122</v>
      </c>
      <c r="B7" s="45"/>
      <c r="C7" s="45"/>
      <c r="D7" s="45"/>
      <c r="E7" s="45"/>
      <c r="F7" s="45"/>
      <c r="G7" s="45"/>
      <c r="H7" s="45"/>
      <c r="I7" s="45"/>
      <c r="J7" s="45">
        <f>AVERAGE('SIM-Data'!J5:J100)</f>
        <v>8.7210486612499995E-3</v>
      </c>
      <c r="K7" s="45"/>
    </row>
    <row r="8" spans="1:13" ht="16.5" customHeight="1" x14ac:dyDescent="0.25">
      <c r="A8" s="40" t="s">
        <v>42</v>
      </c>
      <c r="B8" s="48">
        <v>1.1217138412575361E-2</v>
      </c>
      <c r="C8" s="48">
        <v>-0.18187240085681464</v>
      </c>
      <c r="D8" s="48">
        <v>0.34213061392065547</v>
      </c>
      <c r="E8" s="48">
        <v>0.19281712112435609</v>
      </c>
      <c r="F8" s="48">
        <v>-0.10293758253044999</v>
      </c>
      <c r="G8" s="48">
        <v>0.56946237230670893</v>
      </c>
      <c r="H8" s="48">
        <v>-2.8407853887834345E-2</v>
      </c>
      <c r="I8" s="48">
        <v>0.15818477945172185</v>
      </c>
      <c r="J8" s="48">
        <v>3.9405812059081169E-2</v>
      </c>
      <c r="K8" s="23">
        <f>SUM(B8:J8)</f>
        <v>0.99999999999999978</v>
      </c>
    </row>
    <row r="9" spans="1:13" ht="16.5" customHeight="1" x14ac:dyDescent="0.25">
      <c r="A9" s="40" t="s">
        <v>123</v>
      </c>
      <c r="B9" s="37">
        <f t="shared" ref="B9:J9" si="0">B8*B3</f>
        <v>3.8975432527417283E-6</v>
      </c>
      <c r="C9" s="37">
        <f t="shared" si="0"/>
        <v>1.6345123332658336E-3</v>
      </c>
      <c r="D9" s="37">
        <f t="shared" si="0"/>
        <v>1.3585632336792573E-3</v>
      </c>
      <c r="E9" s="37">
        <f t="shared" si="0"/>
        <v>3.4116255433894806E-4</v>
      </c>
      <c r="F9" s="37">
        <f t="shared" si="0"/>
        <v>1.4479419596274211E-4</v>
      </c>
      <c r="G9" s="37">
        <f t="shared" si="0"/>
        <v>4.2636844391322282E-3</v>
      </c>
      <c r="H9" s="37">
        <f t="shared" si="0"/>
        <v>1.8238555104000672E-5</v>
      </c>
      <c r="I9" s="37">
        <f t="shared" si="0"/>
        <v>1.6335669505339572E-3</v>
      </c>
      <c r="J9" s="37">
        <f t="shared" si="0"/>
        <v>0</v>
      </c>
      <c r="K9" s="23">
        <f>SUM(B9:J9)</f>
        <v>9.3984198052697084E-3</v>
      </c>
    </row>
    <row r="10" spans="1:13" ht="16.5" customHeight="1" x14ac:dyDescent="0.25">
      <c r="A10" s="40" t="s">
        <v>124</v>
      </c>
      <c r="B10" s="37">
        <f t="shared" ref="B10:J10" si="1">B8*B4</f>
        <v>1.0861341840573854E-2</v>
      </c>
      <c r="C10" s="37">
        <f t="shared" si="1"/>
        <v>-0.22035904509190038</v>
      </c>
      <c r="D10" s="37">
        <f t="shared" si="1"/>
        <v>0.35128586480833857</v>
      </c>
      <c r="E10" s="37">
        <f t="shared" si="1"/>
        <v>0.10529170557964609</v>
      </c>
      <c r="F10" s="37">
        <f t="shared" si="1"/>
        <v>-4.1059918923601099E-2</v>
      </c>
      <c r="G10" s="37">
        <f t="shared" si="1"/>
        <v>0.27494148878811731</v>
      </c>
      <c r="H10" s="37">
        <f t="shared" si="1"/>
        <v>-4.1181850599802276E-2</v>
      </c>
      <c r="I10" s="37">
        <f t="shared" si="1"/>
        <v>0.20591432542081298</v>
      </c>
      <c r="J10" s="37">
        <f t="shared" si="1"/>
        <v>3.9405812059081169E-2</v>
      </c>
      <c r="K10" s="23">
        <f t="shared" ref="K10:K11" si="2">SUM(B10:J10)</f>
        <v>0.68509972388126616</v>
      </c>
    </row>
    <row r="11" spans="1:13" ht="16.5" customHeight="1" x14ac:dyDescent="0.25">
      <c r="A11" s="40" t="s">
        <v>125</v>
      </c>
      <c r="B11" s="37">
        <f>B8^2*B5^2</f>
        <v>6.5740089966132598E-7</v>
      </c>
      <c r="C11" s="37">
        <f>C8^2*C5^2</f>
        <v>2.7580019575341796E-4</v>
      </c>
      <c r="D11" s="37">
        <f t="shared" ref="D11:J11" si="3">D8^2*D5^2</f>
        <v>2.292245347325477E-4</v>
      </c>
      <c r="E11" s="37">
        <f t="shared" si="3"/>
        <v>5.7565022732766226E-5</v>
      </c>
      <c r="F11" s="37">
        <f t="shared" si="3"/>
        <v>2.4431179618591743E-5</v>
      </c>
      <c r="G11" s="37">
        <f t="shared" si="3"/>
        <v>7.193804536745383E-4</v>
      </c>
      <c r="H11" s="37">
        <f t="shared" si="3"/>
        <v>3.0765970681269489E-6</v>
      </c>
      <c r="I11" s="37">
        <f t="shared" si="3"/>
        <v>2.7562893982213438E-4</v>
      </c>
      <c r="J11" s="37">
        <f t="shared" si="3"/>
        <v>0</v>
      </c>
      <c r="K11" s="23">
        <f t="shared" si="2"/>
        <v>1.5857643243017846E-3</v>
      </c>
    </row>
    <row r="12" spans="1:13" ht="16.5" customHeight="1" x14ac:dyDescent="0.25">
      <c r="A12" s="40"/>
    </row>
    <row r="13" spans="1:13" ht="16.5" customHeight="1" x14ac:dyDescent="0.25">
      <c r="A13" s="40"/>
      <c r="B13" s="19" t="s">
        <v>30</v>
      </c>
      <c r="C13" s="19" t="s">
        <v>78</v>
      </c>
    </row>
    <row r="14" spans="1:13" ht="16.5" customHeight="1" x14ac:dyDescent="0.25">
      <c r="A14" s="40" t="s">
        <v>118</v>
      </c>
      <c r="B14" s="56">
        <f>K9+J7*K10</f>
        <v>1.537320783504717E-2</v>
      </c>
      <c r="C14" s="56">
        <f>B14*12</f>
        <v>0.18447849402056604</v>
      </c>
    </row>
    <row r="15" spans="1:13" ht="16.5" customHeight="1" x14ac:dyDescent="0.25">
      <c r="A15" s="40" t="s">
        <v>126</v>
      </c>
      <c r="B15" s="56">
        <f>K10^2*J6+K11</f>
        <v>2.5938435193296134E-3</v>
      </c>
      <c r="C15" s="56">
        <f>B15*12</f>
        <v>3.112612223195536E-2</v>
      </c>
    </row>
    <row r="16" spans="1:13" ht="16.5" customHeight="1" x14ac:dyDescent="0.25">
      <c r="A16" s="40" t="s">
        <v>57</v>
      </c>
      <c r="B16" s="56">
        <f>SQRT(B15)</f>
        <v>5.0929790097050405E-2</v>
      </c>
      <c r="C16" s="56">
        <f>B16*SQRT(12)</f>
        <v>0.17642596813381911</v>
      </c>
    </row>
    <row r="17" spans="1:13" ht="16.5" customHeight="1" x14ac:dyDescent="0.25">
      <c r="A17" s="40" t="s">
        <v>59</v>
      </c>
      <c r="B17" s="57">
        <f>B14/B16</f>
        <v>0.30185099537524912</v>
      </c>
      <c r="C17" s="56">
        <f>B17*SQRT(12)</f>
        <v>1.0456425206103392</v>
      </c>
    </row>
    <row r="21" spans="1:13" ht="16.5" customHeight="1" x14ac:dyDescent="0.25">
      <c r="A21" s="8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 t="s">
        <v>50</v>
      </c>
      <c r="M21" s="50">
        <f>COUNTA(B23:J23)</f>
        <v>9</v>
      </c>
    </row>
    <row r="22" spans="1:13" ht="16.5" customHeight="1" x14ac:dyDescent="0.25">
      <c r="A22" s="80"/>
      <c r="B22" s="72" t="s">
        <v>64</v>
      </c>
      <c r="C22" s="73" t="s">
        <v>65</v>
      </c>
      <c r="D22" s="73" t="s">
        <v>66</v>
      </c>
      <c r="E22" s="73" t="s">
        <v>67</v>
      </c>
      <c r="F22" s="73" t="s">
        <v>68</v>
      </c>
      <c r="G22" s="73" t="s">
        <v>69</v>
      </c>
      <c r="H22" s="73" t="s">
        <v>70</v>
      </c>
      <c r="I22" s="74" t="s">
        <v>71</v>
      </c>
      <c r="J22" s="50" t="s">
        <v>10</v>
      </c>
      <c r="K22" s="50" t="s">
        <v>41</v>
      </c>
      <c r="L22" s="50"/>
      <c r="M22" s="50"/>
    </row>
    <row r="23" spans="1:13" ht="16.5" customHeight="1" x14ac:dyDescent="0.25">
      <c r="A23" s="40" t="s">
        <v>115</v>
      </c>
      <c r="B23">
        <v>3.4746323967726502E-4</v>
      </c>
      <c r="C23">
        <v>-8.987137826110627E-3</v>
      </c>
      <c r="D23">
        <v>3.9708905850627148E-3</v>
      </c>
      <c r="E23">
        <v>1.7693581998816255E-3</v>
      </c>
      <c r="F23">
        <v>-1.4066212981047083E-3</v>
      </c>
      <c r="G23">
        <v>7.4872101239304252E-3</v>
      </c>
      <c r="H23">
        <v>-6.4202509545472318E-4</v>
      </c>
      <c r="I23">
        <v>1.0326954060915345E-2</v>
      </c>
      <c r="J23">
        <v>0</v>
      </c>
      <c r="L23" s="42" t="s">
        <v>119</v>
      </c>
      <c r="M23" s="42">
        <f>1/M21</f>
        <v>0.1111111111111111</v>
      </c>
    </row>
    <row r="24" spans="1:13" ht="16.5" customHeight="1" x14ac:dyDescent="0.25">
      <c r="A24" s="40" t="s">
        <v>116</v>
      </c>
      <c r="B24">
        <v>0.96828098585262801</v>
      </c>
      <c r="C24">
        <v>1.2116134391681874</v>
      </c>
      <c r="D24">
        <v>1.0267595196546964</v>
      </c>
      <c r="E24">
        <v>0.54607031245808779</v>
      </c>
      <c r="F24">
        <v>0.39888170981143023</v>
      </c>
      <c r="G24">
        <v>0.48280887756361807</v>
      </c>
      <c r="H24">
        <v>1.4496642640589754</v>
      </c>
      <c r="I24">
        <v>1.3017328603581499</v>
      </c>
      <c r="J24">
        <v>1</v>
      </c>
    </row>
    <row r="25" spans="1:13" ht="16.5" customHeight="1" x14ac:dyDescent="0.25">
      <c r="A25" s="46" t="s">
        <v>120</v>
      </c>
      <c r="B25" s="45">
        <v>7.2282483909883996E-2</v>
      </c>
      <c r="C25" s="45">
        <v>9.1312552964151555E-2</v>
      </c>
      <c r="D25" s="45">
        <v>4.4252581771783178E-2</v>
      </c>
      <c r="E25" s="45">
        <v>3.934900417776574E-2</v>
      </c>
      <c r="F25" s="45">
        <v>4.8017357214174425E-2</v>
      </c>
      <c r="G25" s="45">
        <v>4.7099281683277289E-2</v>
      </c>
      <c r="H25" s="45">
        <v>6.1744301990344821E-2</v>
      </c>
      <c r="I25" s="45">
        <v>0.10495369041415746</v>
      </c>
      <c r="J25" s="45">
        <v>0</v>
      </c>
      <c r="K25" s="45"/>
    </row>
    <row r="26" spans="1:13" ht="16.5" customHeight="1" x14ac:dyDescent="0.25">
      <c r="A26" s="40" t="s">
        <v>121</v>
      </c>
      <c r="B26"/>
      <c r="C26"/>
      <c r="D26"/>
      <c r="E26"/>
      <c r="F26"/>
      <c r="G26" s="47"/>
      <c r="H26"/>
      <c r="I26"/>
      <c r="J26">
        <v>2.147766513120894E-3</v>
      </c>
    </row>
    <row r="27" spans="1:13" ht="16.5" customHeight="1" x14ac:dyDescent="0.25">
      <c r="A27" s="46" t="s">
        <v>122</v>
      </c>
      <c r="B27" s="45"/>
      <c r="C27" s="45"/>
      <c r="D27" s="45"/>
      <c r="E27" s="45"/>
      <c r="F27" s="45"/>
      <c r="G27" s="45"/>
      <c r="H27" s="45"/>
      <c r="I27" s="45"/>
      <c r="J27" s="45">
        <v>8.7210486612499995E-3</v>
      </c>
      <c r="K27" s="45"/>
    </row>
    <row r="28" spans="1:13" ht="16.5" customHeight="1" x14ac:dyDescent="0.25">
      <c r="A28" s="40" t="s">
        <v>42</v>
      </c>
      <c r="B28" s="48">
        <v>1.1217138412575361E-2</v>
      </c>
      <c r="C28" s="48">
        <v>-0.18187240085681464</v>
      </c>
      <c r="D28" s="48">
        <v>0.34213061392065547</v>
      </c>
      <c r="E28" s="48">
        <v>0.19281712112435609</v>
      </c>
      <c r="F28" s="48">
        <v>-0.10293758253044999</v>
      </c>
      <c r="G28" s="48">
        <v>0.56946237230670893</v>
      </c>
      <c r="H28" s="48">
        <v>-2.8407853887834345E-2</v>
      </c>
      <c r="I28" s="48">
        <v>0.15818477945172185</v>
      </c>
      <c r="J28" s="48">
        <v>3.9405812059081169E-2</v>
      </c>
      <c r="K28" s="23">
        <v>0.99999999999999978</v>
      </c>
    </row>
    <row r="29" spans="1:13" ht="16.5" customHeight="1" x14ac:dyDescent="0.25">
      <c r="A29" s="40" t="s">
        <v>123</v>
      </c>
      <c r="B29" s="37">
        <v>3.8975432527417283E-6</v>
      </c>
      <c r="C29" s="37">
        <v>1.6345123332658336E-3</v>
      </c>
      <c r="D29" s="37">
        <v>1.3585632336792573E-3</v>
      </c>
      <c r="E29" s="37">
        <v>3.4116255433894806E-4</v>
      </c>
      <c r="F29" s="37">
        <v>1.4479419596274211E-4</v>
      </c>
      <c r="G29" s="37">
        <v>4.2636844391322282E-3</v>
      </c>
      <c r="H29" s="37">
        <v>1.8238555104000672E-5</v>
      </c>
      <c r="I29" s="37">
        <v>1.6335669505339572E-3</v>
      </c>
      <c r="J29" s="37">
        <v>0</v>
      </c>
      <c r="K29" s="23">
        <v>9.3984198052697084E-3</v>
      </c>
    </row>
    <row r="30" spans="1:13" ht="16.5" customHeight="1" x14ac:dyDescent="0.25">
      <c r="A30" s="40" t="s">
        <v>124</v>
      </c>
      <c r="B30" s="37">
        <v>1.0861341840573854E-2</v>
      </c>
      <c r="C30" s="37">
        <v>-0.22035904509190038</v>
      </c>
      <c r="D30" s="37">
        <v>0.35128586480833857</v>
      </c>
      <c r="E30" s="37">
        <v>0.10529170557964609</v>
      </c>
      <c r="F30" s="37">
        <v>-4.1059918923601099E-2</v>
      </c>
      <c r="G30" s="37">
        <v>0.27494148878811731</v>
      </c>
      <c r="H30" s="37">
        <v>-4.1181850599802276E-2</v>
      </c>
      <c r="I30" s="37">
        <v>0.20591432542081298</v>
      </c>
      <c r="J30" s="37">
        <v>3.9405812059081169E-2</v>
      </c>
      <c r="K30" s="23">
        <v>0.68509972388126616</v>
      </c>
    </row>
    <row r="31" spans="1:13" ht="16.5" customHeight="1" x14ac:dyDescent="0.25">
      <c r="A31" s="40" t="s">
        <v>125</v>
      </c>
      <c r="B31" s="37">
        <v>6.5740089966132598E-7</v>
      </c>
      <c r="C31" s="37">
        <v>2.7580019575341796E-4</v>
      </c>
      <c r="D31" s="37">
        <v>2.292245347325477E-4</v>
      </c>
      <c r="E31" s="37">
        <v>5.7565022732766226E-5</v>
      </c>
      <c r="F31" s="37">
        <v>2.4431179618591743E-5</v>
      </c>
      <c r="G31" s="37">
        <v>7.193804536745383E-4</v>
      </c>
      <c r="H31" s="37">
        <v>3.0765970681269489E-6</v>
      </c>
      <c r="I31" s="37">
        <v>2.7562893982213438E-4</v>
      </c>
      <c r="J31" s="37">
        <v>0</v>
      </c>
      <c r="K31" s="23">
        <v>1.5857643243017846E-3</v>
      </c>
    </row>
    <row r="32" spans="1:13" ht="16.5" customHeight="1" x14ac:dyDescent="0.25">
      <c r="A32" s="40"/>
    </row>
    <row r="33" spans="1:3" ht="16.5" customHeight="1" x14ac:dyDescent="0.25">
      <c r="A33" s="40"/>
      <c r="B33" s="19" t="s">
        <v>30</v>
      </c>
      <c r="C33" s="19" t="s">
        <v>78</v>
      </c>
    </row>
    <row r="34" spans="1:3" ht="16.5" customHeight="1" x14ac:dyDescent="0.25">
      <c r="A34" s="40" t="s">
        <v>118</v>
      </c>
      <c r="B34" s="56">
        <v>1.537320783504717E-2</v>
      </c>
      <c r="C34" s="56">
        <v>0.18447849402056604</v>
      </c>
    </row>
    <row r="35" spans="1:3" ht="16.5" customHeight="1" x14ac:dyDescent="0.25">
      <c r="A35" s="40" t="s">
        <v>126</v>
      </c>
      <c r="B35" s="56">
        <v>2.5938435193296134E-3</v>
      </c>
      <c r="C35" s="56">
        <v>3.112612223195536E-2</v>
      </c>
    </row>
    <row r="36" spans="1:3" ht="16.5" customHeight="1" x14ac:dyDescent="0.25">
      <c r="A36" s="40" t="s">
        <v>57</v>
      </c>
      <c r="B36" s="56">
        <v>5.0929790097050405E-2</v>
      </c>
      <c r="C36" s="56">
        <v>0.17642596813381911</v>
      </c>
    </row>
    <row r="37" spans="1:3" ht="16.5" customHeight="1" x14ac:dyDescent="0.25">
      <c r="A37" s="40" t="s">
        <v>59</v>
      </c>
      <c r="B37" s="57">
        <v>0.30185099537524912</v>
      </c>
      <c r="C37" s="56">
        <v>1.0456425206103392</v>
      </c>
    </row>
  </sheetData>
  <mergeCells count="14">
    <mergeCell ref="A21:A22"/>
    <mergeCell ref="A1:A2"/>
    <mergeCell ref="G1:G2"/>
    <mergeCell ref="F1:F2"/>
    <mergeCell ref="E1:E2"/>
    <mergeCell ref="D1:D2"/>
    <mergeCell ref="C1:C2"/>
    <mergeCell ref="B1:B2"/>
    <mergeCell ref="H1:H2"/>
    <mergeCell ref="M1:M2"/>
    <mergeCell ref="L1:L2"/>
    <mergeCell ref="K1:K2"/>
    <mergeCell ref="J1:J2"/>
    <mergeCell ref="I1:I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f064fd-9aa0-4af5-b838-311b178f6462" xsi:nil="true"/>
    <lcf76f155ced4ddcb4097134ff3c332f xmlns="706c7843-5847-4d20-9c55-36806032fae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05381909A3FC47A02E000BE3C37660" ma:contentTypeVersion="12" ma:contentTypeDescription="Create a new document." ma:contentTypeScope="" ma:versionID="f626abbf5a05adf30ff1ace2f1aed73a">
  <xsd:schema xmlns:xsd="http://www.w3.org/2001/XMLSchema" xmlns:xs="http://www.w3.org/2001/XMLSchema" xmlns:p="http://schemas.microsoft.com/office/2006/metadata/properties" xmlns:ns2="706c7843-5847-4d20-9c55-36806032faeb" xmlns:ns3="b7f064fd-9aa0-4af5-b838-311b178f6462" targetNamespace="http://schemas.microsoft.com/office/2006/metadata/properties" ma:root="true" ma:fieldsID="7ae37a6c34b7eab329c4a910e34cbdac" ns2:_="" ns3:_="">
    <xsd:import namespace="706c7843-5847-4d20-9c55-36806032faeb"/>
    <xsd:import namespace="b7f064fd-9aa0-4af5-b838-311b178f6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c7843-5847-4d20-9c55-36806032f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71c625-46c0-40f9-b5bc-6dd1c5b275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64fd-9aa0-4af5-b838-311b178f64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20a5b0-ae03-483d-b40a-92e26a8cc5c6}" ma:internalName="TaxCatchAll" ma:showField="CatchAllData" ma:web="b7f064fd-9aa0-4af5-b838-311b178f6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14BB33-6E5A-44DC-BC27-55FBC4158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B905F8-C586-49B0-B3B6-81DD867F4EA4}">
  <ds:schemaRefs>
    <ds:schemaRef ds:uri="http://schemas.microsoft.com/office/2006/metadata/properties"/>
    <ds:schemaRef ds:uri="http://schemas.microsoft.com/office/infopath/2007/PartnerControls"/>
    <ds:schemaRef ds:uri="b7f064fd-9aa0-4af5-b838-311b178f6462"/>
    <ds:schemaRef ds:uri="706c7843-5847-4d20-9c55-36806032faeb"/>
  </ds:schemaRefs>
</ds:datastoreItem>
</file>

<file path=customXml/itemProps3.xml><?xml version="1.0" encoding="utf-8"?>
<ds:datastoreItem xmlns:ds="http://schemas.openxmlformats.org/officeDocument/2006/customXml" ds:itemID="{C6A2925C-4D56-4529-8A92-05FF18973D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c7843-5847-4d20-9c55-36806032faeb"/>
    <ds:schemaRef ds:uri="b7f064fd-9aa0-4af5-b838-311b178f64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inputs_new</vt:lpstr>
      <vt:lpstr>Inputs</vt:lpstr>
      <vt:lpstr>Plot Returns_Risk1</vt:lpstr>
      <vt:lpstr>EW Portfolio</vt:lpstr>
      <vt:lpstr>Min Variance Portfolio</vt:lpstr>
      <vt:lpstr>Best Portfolio No Short Selling</vt:lpstr>
      <vt:lpstr>Best Portfolio, weights&lt;20%</vt:lpstr>
      <vt:lpstr>Best Portfolio, sigma=market</vt:lpstr>
      <vt:lpstr>Best Portfolio</vt:lpstr>
      <vt:lpstr>Plot Returns_Risk2</vt:lpstr>
      <vt:lpstr>Sheet1</vt:lpstr>
      <vt:lpstr>SIM-Data</vt:lpstr>
      <vt:lpstr>Sim_Regressions</vt:lpstr>
      <vt:lpstr>SIM-Inputs</vt:lpstr>
      <vt:lpstr>SIM-Results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Filip de Brucq</cp:lastModifiedBy>
  <cp:revision/>
  <dcterms:created xsi:type="dcterms:W3CDTF">2014-01-27T14:20:05Z</dcterms:created>
  <dcterms:modified xsi:type="dcterms:W3CDTF">2026-02-09T16:00:03Z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91ea28-dca1-4266-a4f7-ebceb983bddc_Enabled">
    <vt:lpwstr>true</vt:lpwstr>
  </property>
  <property fmtid="{D5CDD505-2E9C-101B-9397-08002B2CF9AE}" pid="3" name="MSIP_Label_cb91ea28-dca1-4266-a4f7-ebceb983bddc_SetDate">
    <vt:lpwstr>2025-04-06T06:57:52Z</vt:lpwstr>
  </property>
  <property fmtid="{D5CDD505-2E9C-101B-9397-08002B2CF9AE}" pid="4" name="MSIP_Label_cb91ea28-dca1-4266-a4f7-ebceb983bddc_Method">
    <vt:lpwstr>Privileged</vt:lpwstr>
  </property>
  <property fmtid="{D5CDD505-2E9C-101B-9397-08002B2CF9AE}" pid="5" name="MSIP_Label_cb91ea28-dca1-4266-a4f7-ebceb983bddc_Name">
    <vt:lpwstr>Public</vt:lpwstr>
  </property>
  <property fmtid="{D5CDD505-2E9C-101B-9397-08002B2CF9AE}" pid="6" name="MSIP_Label_cb91ea28-dca1-4266-a4f7-ebceb983bddc_SiteId">
    <vt:lpwstr>4cbfea0a-b872-47f0-b51c-1c64953c3f0b</vt:lpwstr>
  </property>
  <property fmtid="{D5CDD505-2E9C-101B-9397-08002B2CF9AE}" pid="7" name="MSIP_Label_cb91ea28-dca1-4266-a4f7-ebceb983bddc_ActionId">
    <vt:lpwstr>6a27a7dc-6843-4f1a-9d3c-c731f13f85ba</vt:lpwstr>
  </property>
  <property fmtid="{D5CDD505-2E9C-101B-9397-08002B2CF9AE}" pid="8" name="MSIP_Label_cb91ea28-dca1-4266-a4f7-ebceb983bddc_ContentBits">
    <vt:lpwstr>0</vt:lpwstr>
  </property>
  <property fmtid="{D5CDD505-2E9C-101B-9397-08002B2CF9AE}" pid="9" name="MSIP_Label_cb91ea28-dca1-4266-a4f7-ebceb983bddc_Tag">
    <vt:lpwstr>10, 0, 1, 1</vt:lpwstr>
  </property>
  <property fmtid="{D5CDD505-2E9C-101B-9397-08002B2CF9AE}" pid="10" name="ContentTypeId">
    <vt:lpwstr>0x0101008F05381909A3FC47A02E000BE3C37660</vt:lpwstr>
  </property>
  <property fmtid="{D5CDD505-2E9C-101B-9397-08002B2CF9AE}" pid="11" name="MediaServiceImageTags">
    <vt:lpwstr/>
  </property>
</Properties>
</file>